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slicers/slicer1.xml" ContentType="application/vnd.ms-excel.slicer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a\Desktop\excel\"/>
    </mc:Choice>
  </mc:AlternateContent>
  <xr:revisionPtr revIDLastSave="0" documentId="13_ncr:1_{7C822362-A8E5-44A6-B3D2-1D5E1B24F03A}" xr6:coauthVersionLast="47" xr6:coauthVersionMax="47" xr10:uidLastSave="{00000000-0000-0000-0000-000000000000}"/>
  <bookViews>
    <workbookView xWindow="-120" yWindow="-120" windowWidth="20730" windowHeight="11160" tabRatio="772" firstSheet="1" activeTab="4" xr2:uid="{8752D24D-47B7-4889-AEEA-8444FBAC57C9}"/>
  </bookViews>
  <sheets>
    <sheet name="Zapotrzebowanie_produkcyjne" sheetId="9" r:id="rId1"/>
    <sheet name="Transport" sheetId="10" r:id="rId2"/>
    <sheet name="Zamowienia_sklep" sheetId="2" r:id="rId3"/>
    <sheet name="Receptury" sheetId="6" r:id="rId4"/>
    <sheet name="Dostepnosc_surowcow" sheetId="4" r:id="rId5"/>
    <sheet name="b_Receptury" sheetId="5" r:id="rId6"/>
    <sheet name="b_Zamowienia_sklepy" sheetId="1" r:id="rId7"/>
    <sheet name="b_Dostepnosc_surowcow" sheetId="3" r:id="rId8"/>
  </sheets>
  <definedNames>
    <definedName name="_xlcn.WorksheetConnection_PROJEKT.xlsxZamowienia_sklep1" hidden="1">Zamowienia_sklep[]</definedName>
    <definedName name="_xlcn.WorksheetConnection_PROJEKT.xlsxZapotrzebowanie_produkcyjne1" hidden="1">Zapotrzebowanie_produkcyjne</definedName>
    <definedName name="ExternalData_1" localSheetId="4" hidden="1">Dostepnosc_surowcow!$A$1:$F$26</definedName>
    <definedName name="ExternalData_1" localSheetId="3" hidden="1">Receptury!$A$1:$E$82</definedName>
    <definedName name="ExternalData_1" localSheetId="2" hidden="1">Zamowienia_sklep!$A$1:$F$31</definedName>
    <definedName name="ExternalData_2" localSheetId="1" hidden="1">Transport!$A$1:$D$20</definedName>
    <definedName name="ExternalData_3" localSheetId="0" hidden="1">Zapotrzebowanie_produkcyjne!$A$1:$D$18</definedName>
    <definedName name="Fragmentator_Miasto">#N/A</definedName>
  </definedNames>
  <calcPr calcId="191029"/>
  <pivotCaches>
    <pivotCache cacheId="99" r:id="rId9"/>
  </pivotCaches>
  <extLst>
    <ext xmlns:x14="http://schemas.microsoft.com/office/spreadsheetml/2009/9/main" uri="{876F7934-8845-4945-9796-88D515C7AA90}">
      <x14:pivotCaches>
        <pivotCache cacheId="78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Zamowienia_sklep" name="Zamowienia_sklep" connection="WorksheetConnection_PROJEKT.xlsx!Zamowienia_sklep"/>
          <x15:modelTable id="Zapotrzebowanie_produkcyjne" name="Zapotrzebowanie_produkcyjne" connection="WorksheetConnection_PROJEKT.xlsx!Zapotrzebowanie_produkcyjn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3BA683-483A-4966-9E47-DF9A9EA91E44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E979D2F-7BB4-4A85-9FFF-3BBD0AD64E07}" name="WorksheetConnection_PROJEKT.xlsx!Zamowienia_sklep" type="102" refreshedVersion="8" minRefreshableVersion="5">
    <extLst>
      <ext xmlns:x15="http://schemas.microsoft.com/office/spreadsheetml/2010/11/main" uri="{DE250136-89BD-433C-8126-D09CA5730AF9}">
        <x15:connection id="Zamowienia_sklep" autoDelete="1">
          <x15:rangePr sourceName="_xlcn.WorksheetConnection_PROJEKT.xlsxZamowienia_sklep1"/>
        </x15:connection>
      </ext>
    </extLst>
  </connection>
  <connection id="3" xr16:uid="{001DE160-6F38-46AA-81B8-F34D9DE0C895}" name="WorksheetConnection_PROJEKT.xlsx!Zapotrzebowanie_produkcyjne" type="102" refreshedVersion="8" minRefreshableVersion="5">
    <extLst>
      <ext xmlns:x15="http://schemas.microsoft.com/office/spreadsheetml/2010/11/main" uri="{DE250136-89BD-433C-8126-D09CA5730AF9}">
        <x15:connection id="Zapotrzebowanie_produkcyjne">
          <x15:rangePr sourceName="_xlcn.WorksheetConnection_PROJEKT.xlsxZapotrzebowanie_produkcyjne1"/>
        </x15:connection>
      </ext>
    </extLst>
  </connection>
  <connection id="4" xr16:uid="{76CBD18C-E2C1-4780-815A-33EDF3274E77}" keepAlive="1" name="Zapytanie — Dostepnosc_surowcow" description="Połączenie z zapytaniem „Dostepnosc_surowcow” w skoroszycie." type="5" refreshedVersion="8" background="1" saveData="1">
    <dbPr connection="Provider=Microsoft.Mashup.OleDb.1;Data Source=$Workbook$;Location=Dostepnosc_surowcow;Extended Properties=&quot;&quot;" command="SELECT * FROM [Dostepnosc_surowcow]"/>
  </connection>
  <connection id="5" xr16:uid="{F664076C-9FD7-471B-AE26-BABB088419E4}" keepAlive="1" name="Zapytanie — Receptury" description="Połączenie z zapytaniem „Receptury” w skoroszycie." type="5" refreshedVersion="8" background="1" saveData="1">
    <dbPr connection="Provider=Microsoft.Mashup.OleDb.1;Data Source=$Workbook$;Location=Receptury;Extended Properties=&quot;&quot;" command="SELECT * FROM [Receptury]"/>
  </connection>
  <connection id="6" xr16:uid="{313FA0F5-E50E-4AD3-B5F4-76E978B3791F}" keepAlive="1" name="Zapytanie — Transport" description="Połączenie z zapytaniem „Transport” w skoroszycie." type="5" refreshedVersion="8" background="1" saveData="1">
    <dbPr connection="Provider=Microsoft.Mashup.OleDb.1;Data Source=$Workbook$;Location=Transport;Extended Properties=&quot;&quot;" command="SELECT * FROM [Transport]"/>
  </connection>
  <connection id="7" xr16:uid="{55C231E1-1655-4D8C-83D6-F8A7EFDCD2F7}" keepAlive="1" name="Zapytanie — Zamowienia_sklep" description="Połączenie z zapytaniem „Zamowienia_sklep” w skoroszycie." type="5" refreshedVersion="8" background="1" saveData="1">
    <dbPr connection="Provider=Microsoft.Mashup.OleDb.1;Data Source=$Workbook$;Location=Zamowienia_sklep;Extended Properties=&quot;&quot;" command="SELECT * FROM [Zamowienia_sklep]"/>
  </connection>
  <connection id="8" xr16:uid="{EB94290C-1041-469F-B4C6-4A51E22B77AB}" keepAlive="1" name="Zapytanie — Zapotrzebowanie_produkcyjne (2)" description="Połączenie z zapytaniem „Zapotrzebowanie_produkcyjne (2)” w skoroszycie." type="5" refreshedVersion="8" background="1" saveData="1">
    <dbPr connection="Provider=Microsoft.Mashup.OleDb.1;Data Source=$Workbook$;Location=&quot;Zapotrzebowanie_produkcyjne (2)&quot;;Extended Properties=&quot;&quot;" command="SELECT * FROM [Zapotrzebowanie_produkcyjne (2)]"/>
  </connection>
</connections>
</file>

<file path=xl/sharedStrings.xml><?xml version="1.0" encoding="utf-8"?>
<sst xmlns="http://schemas.openxmlformats.org/spreadsheetml/2006/main" count="970" uniqueCount="143">
  <si>
    <t>Produkt | Ilosc_Sztuk | Priorytet | Data_Dostawy |</t>
  </si>
  <si>
    <t>| Skladnik | Stan_Magazynowy_L | Koszt_za_L |</t>
  </si>
  <si>
    <t>Produkt</t>
  </si>
  <si>
    <t>Priorytet</t>
  </si>
  <si>
    <t xml:space="preserve"> Wysoki </t>
  </si>
  <si>
    <t xml:space="preserve"> Średni </t>
  </si>
  <si>
    <t xml:space="preserve"> Niski </t>
  </si>
  <si>
    <t>Składnik</t>
  </si>
  <si>
    <t>Stan_Magazynowy</t>
  </si>
  <si>
    <t>Premix Owocowy 60ml 1200 Średni 2026-03-03 Kraków</t>
  </si>
  <si>
    <t>Liquid Menthol 10ml 900 Średni 2026-03-04 Wrocław</t>
  </si>
  <si>
    <t>Baza 70/30 100ml 1500 Wysoki 2026-03-01 Poznań</t>
  </si>
  <si>
    <t>Liquid Vanilla 10ml 600 Niski 2026-03-06 Gdańsk</t>
  </si>
  <si>
    <t>Premix Exotic 60ml 2100 Średni 2026-03-04 Katowice</t>
  </si>
  <si>
    <t>Liquid Menthol 10ml 1200 Średni 2026-03-05 Poznań</t>
  </si>
  <si>
    <t>Baza 50/50 100ml 400 Niski 2026-03-07 Lublin</t>
  </si>
  <si>
    <t>Liquid Tobacco 10ml 1800 Wysoki 2026-03-02 Poznań</t>
  </si>
  <si>
    <t>Premix Owocowy 60ml 950 Średni 2026-03-03 Łódź</t>
  </si>
  <si>
    <t>Liquid Berry 10ml 1100 Średni 2026-03-04 Białystok</t>
  </si>
  <si>
    <t>Baza 70/30 100ml 700 Niski 2026-03-08 Toruń</t>
  </si>
  <si>
    <t>Liquid Menthol 10ml 2500 Wysoki 2026-03-01 Poznań</t>
  </si>
  <si>
    <t>Premix Menthol 60ml 1300 Średni 2026-03-05 Poznań</t>
  </si>
  <si>
    <t>Baza 50/50 500ml 200 Wysoki 2026-03-02 Poznań</t>
  </si>
  <si>
    <t>Liquid Tobacco 10ml 1400 Niski 2026-03-10 Rzeszów</t>
  </si>
  <si>
    <t>Liquid Cherry 10ml 800 Średni 2026-03-06 Kielce</t>
  </si>
  <si>
    <t>Premix Owocowy 60ml 1700 Wysoki 2026-03-02 Poznań</t>
  </si>
  <si>
    <t>Baza 70/30 500ml 300 Średni 2026-03-05 Poznań</t>
  </si>
  <si>
    <t>Liquid Menthol 10ml 1100 Niski 2026-03-12 Częstochowa</t>
  </si>
  <si>
    <t>Liquid Tobacco 10ml 2200 Wysoki 2026-03-02 Poznań</t>
  </si>
  <si>
    <t>Premix Exotic 60ml 850 Średni 2026-03-06 Gdynia</t>
  </si>
  <si>
    <t>Baza 50/50 100ml 1200 Wysoki 2026-03-03 Poznań</t>
  </si>
  <si>
    <t>Liquid Vanilla 10ml 500 Średni 2026-03-07 Poznań</t>
  </si>
  <si>
    <t>Liquid Menthol 10ml 1500 Wysoki 2026-03-01 Poznań</t>
  </si>
  <si>
    <t>Liquid Tobacco 10ml 2000 Średni 2026-03-02 Poznań</t>
  </si>
  <si>
    <t>Baza 50/50 100ml 800 Wysoki 2026-03-01 Swarzędz</t>
  </si>
  <si>
    <t>Miasto</t>
  </si>
  <si>
    <t>Olejek CBD 5%</t>
  </si>
  <si>
    <t>Olejek CBD 10%</t>
  </si>
  <si>
    <t>Olejek CBD 15%</t>
  </si>
  <si>
    <t>Olejek CBD 5% 10ml 300 Niski 2026-03-05 Warszawa</t>
  </si>
  <si>
    <t>Olejek CBD 10% 10ml 150 Wysoki 2026-03-02 Szczecin</t>
  </si>
  <si>
    <t>Olejek CBD 5% 10ml 450 Średni 2026-03-04 Bydgoszcz</t>
  </si>
  <si>
    <t>Olejek CBD 15% 10ml 100 Wysoki 2026-03-01 Warszawa</t>
  </si>
  <si>
    <t>Nazwa _Produktu</t>
  </si>
  <si>
    <t>Ilosc_sztuk</t>
  </si>
  <si>
    <t>Data_Dostawy</t>
  </si>
  <si>
    <t xml:space="preserve"> Poznań</t>
  </si>
  <si>
    <t xml:space="preserve"> Swarzędz</t>
  </si>
  <si>
    <t xml:space="preserve"> Warszawa</t>
  </si>
  <si>
    <t xml:space="preserve"> Kraków</t>
  </si>
  <si>
    <t xml:space="preserve"> Wrocław</t>
  </si>
  <si>
    <t xml:space="preserve"> Gdańsk</t>
  </si>
  <si>
    <t xml:space="preserve"> Szczecin</t>
  </si>
  <si>
    <t xml:space="preserve"> Katowice</t>
  </si>
  <si>
    <t xml:space="preserve"> Lublin</t>
  </si>
  <si>
    <t xml:space="preserve"> Łódź</t>
  </si>
  <si>
    <t xml:space="preserve"> Białystok</t>
  </si>
  <si>
    <t xml:space="preserve"> Toruń</t>
  </si>
  <si>
    <t xml:space="preserve"> Bydgoszcz</t>
  </si>
  <si>
    <t xml:space="preserve"> Rzeszów</t>
  </si>
  <si>
    <t xml:space="preserve"> Kielce</t>
  </si>
  <si>
    <t xml:space="preserve"> Częstochowa</t>
  </si>
  <si>
    <t xml:space="preserve"> Gdynia</t>
  </si>
  <si>
    <t>Glikol 500 15 L</t>
  </si>
  <si>
    <t>Gliceryna 600 12 L</t>
  </si>
  <si>
    <t>Nikotyna 20mg 50 250 L</t>
  </si>
  <si>
    <t>Aromat Menthol 15 180 L</t>
  </si>
  <si>
    <t>Aromat Tobacco 20 195 L</t>
  </si>
  <si>
    <t>Aromat Owocowy 25 170 L</t>
  </si>
  <si>
    <t>Aromat Vanilla 10 210 L</t>
  </si>
  <si>
    <t>Aromat Exotic 18 230 L</t>
  </si>
  <si>
    <t>Aromat Berry 12 185 L</t>
  </si>
  <si>
    <t>Aromat Cherry 8 190 L</t>
  </si>
  <si>
    <t>Ekstrakt CBD 5 1200 L</t>
  </si>
  <si>
    <t>Butelka 10ml 50000 0.15 szt</t>
  </si>
  <si>
    <t>Butelka 60ml 15000 0.25 szt</t>
  </si>
  <si>
    <t>Butelka 100ml 10000 0.35 szt</t>
  </si>
  <si>
    <t>Etykieta Liquid 60000 0.05 szt</t>
  </si>
  <si>
    <t>Etykieta Premix 20000 0.08 szt</t>
  </si>
  <si>
    <t>Jednostka</t>
  </si>
  <si>
    <t>Nikotyna 20mg</t>
  </si>
  <si>
    <t>Butelka 10ml</t>
  </si>
  <si>
    <t>szt</t>
  </si>
  <si>
    <t>Butelka 60ml</t>
  </si>
  <si>
    <t>Butelka 100ml</t>
  </si>
  <si>
    <t>Zakrętka 80000 0.03 szt</t>
  </si>
  <si>
    <t>Wariant</t>
  </si>
  <si>
    <t>Surowiec</t>
  </si>
  <si>
    <t>Ilość</t>
  </si>
  <si>
    <t>Liquid Menthol</t>
  </si>
  <si>
    <t>10 ml</t>
  </si>
  <si>
    <t>Glikol</t>
  </si>
  <si>
    <t>ml</t>
  </si>
  <si>
    <t>Gliceryna</t>
  </si>
  <si>
    <t>Aromat Menthol</t>
  </si>
  <si>
    <t>Etykieta Liquid</t>
  </si>
  <si>
    <t>Zakrętka</t>
  </si>
  <si>
    <t>Liquid Tobacco</t>
  </si>
  <si>
    <t>Aromat Tobacco</t>
  </si>
  <si>
    <t>Liquid Vanilla</t>
  </si>
  <si>
    <t>Aromat Vanilla</t>
  </si>
  <si>
    <t>Liquid Berry</t>
  </si>
  <si>
    <t>Aromat Berry</t>
  </si>
  <si>
    <t>Liquid Cherry</t>
  </si>
  <si>
    <t>Aromat Cherry</t>
  </si>
  <si>
    <t>Baza 50/50</t>
  </si>
  <si>
    <t>100 ml</t>
  </si>
  <si>
    <t>Baza 70/30</t>
  </si>
  <si>
    <t>Ekstrakt CBD</t>
  </si>
  <si>
    <t>Premix Owocowy</t>
  </si>
  <si>
    <t>60 ml</t>
  </si>
  <si>
    <t>Aromat Owocowy</t>
  </si>
  <si>
    <t>Etykieta Premix</t>
  </si>
  <si>
    <t>Premix Exotic</t>
  </si>
  <si>
    <t>Aromat Exotic</t>
  </si>
  <si>
    <t>Premix Menthol</t>
  </si>
  <si>
    <t>Receptury.Surowiec</t>
  </si>
  <si>
    <t>Łączne_zapotrzebowanie_ml_szt</t>
  </si>
  <si>
    <t>Wymagany Duży Samochód</t>
  </si>
  <si>
    <t>Pojemnosc ml</t>
  </si>
  <si>
    <t xml:space="preserve">Liquid Menthol </t>
  </si>
  <si>
    <t xml:space="preserve">Liquid Tobacco </t>
  </si>
  <si>
    <t xml:space="preserve">Baza 50/50 </t>
  </si>
  <si>
    <t xml:space="preserve">Premix Owocowy </t>
  </si>
  <si>
    <t xml:space="preserve">Baza 70/30 </t>
  </si>
  <si>
    <t xml:space="preserve">Liquid Vanilla </t>
  </si>
  <si>
    <t xml:space="preserve">Premix Exotic </t>
  </si>
  <si>
    <t xml:space="preserve">Liquid Berry </t>
  </si>
  <si>
    <t xml:space="preserve">Premix Menthol </t>
  </si>
  <si>
    <t xml:space="preserve">Liquid Cherry </t>
  </si>
  <si>
    <t>Suma_sztuk</t>
  </si>
  <si>
    <t>Weryfikacja_transportu</t>
  </si>
  <si>
    <t>Standarowy Van</t>
  </si>
  <si>
    <t>Koszt_jednostkowy_ml_szt</t>
  </si>
  <si>
    <t>Koszt_zakupu_PLN</t>
  </si>
  <si>
    <t>Stan_magazynowy_ml_szt</t>
  </si>
  <si>
    <t>Do_zamowienia_ml_szt</t>
  </si>
  <si>
    <t>Etykiety wierszy</t>
  </si>
  <si>
    <t>Suma końcowa</t>
  </si>
  <si>
    <t xml:space="preserve"> Średni</t>
  </si>
  <si>
    <t xml:space="preserve"> Niski</t>
  </si>
  <si>
    <t xml:space="preserve"> Wysoki</t>
  </si>
  <si>
    <t>Suma Ilosc_sztuk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</si>
</sst>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ny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276225</xdr:colOff>
      <xdr:row>7</xdr:row>
      <xdr:rowOff>19050</xdr:rowOff>
    </xdr:from>
    <xdr:to>
      <xdr:col>17</xdr:col>
      <xdr:colOff>0</xdr:colOff>
      <xdr:row>27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iasto">
              <a:extLst>
                <a:ext uri="{FF2B5EF4-FFF2-40B4-BE49-F238E27FC236}">
                  <a16:creationId xmlns:a16="http://schemas.microsoft.com/office/drawing/2014/main" id="{DBB7B1DB-D10F-AD91-FE25-FABD8C62C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as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9500" y="1352550"/>
              <a:ext cx="1828800" cy="3905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la" refreshedDate="46079.509112615742" backgroundQuery="1" createdVersion="8" refreshedVersion="8" minRefreshableVersion="3" recordCount="0" supportSubquery="1" supportAdvancedDrill="1" xr:uid="{E82C22AD-BF3F-4D79-9AAD-947CD8EAAC92}">
  <cacheSource type="external" connectionId="1"/>
  <cacheFields count="3">
    <cacheField name="[Measures].[Suma Ilosc_sztuk]" caption="Suma Ilosc_sztuk" numFmtId="0" hierarchy="17" level="32767"/>
    <cacheField name="[Zamowienia_sklep].[Priorytet].[Priorytet]" caption="Priorytet" numFmtId="0" hierarchy="3" level="1">
      <sharedItems count="3">
        <s v=" Niski"/>
        <s v=" Średni"/>
        <s v=" Wysoki"/>
      </sharedItems>
    </cacheField>
    <cacheField name="[Zamowienia_sklep].[Nazwa _Produktu].[Nazwa _Produktu]" caption="Nazwa _Produktu" numFmtId="0" level="1">
      <sharedItems count="13">
        <s v="Baza 50/50"/>
        <s v="Baza 70/30"/>
        <s v="Liquid Menthol"/>
        <s v="Liquid Tobacco"/>
        <s v="Liquid Vanilla"/>
        <s v="Olejek CBD 5%"/>
        <s v="Liquid Berry"/>
        <s v="Liquid Cherry"/>
        <s v="Premix Exotic"/>
        <s v="Premix Menthol"/>
        <s v="Premix Owocowy"/>
        <s v="Olejek CBD 10%"/>
        <s v="Olejek CBD 15%"/>
      </sharedItems>
    </cacheField>
  </cacheFields>
  <cacheHierarchies count="18">
    <cacheHierarchy uniqueName="[Zamowienia_sklep].[Nazwa _Produktu]" caption="Nazwa _Produktu" attribute="1" defaultMemberUniqueName="[Zamowienia_sklep].[Nazwa _Produktu].[All]" allUniqueName="[Zamowienia_sklep].[Nazwa _Produktu].[All]" dimensionUniqueName="[Zamowienia_sklep]" displayFolder="" count="2" memberValueDatatype="130" unbalanced="0">
      <fieldsUsage count="2">
        <fieldUsage x="-1"/>
        <fieldUsage x="2"/>
      </fieldsUsage>
    </cacheHierarchy>
    <cacheHierarchy uniqueName="[Zamowienia_sklep].[Pojemnosc ml]" caption="Pojemnosc ml" attribute="1" defaultMemberUniqueName="[Zamowienia_sklep].[Pojemnosc ml].[All]" allUniqueName="[Zamowienia_sklep].[Pojemnosc ml].[All]" dimensionUniqueName="[Zamowienia_sklep]" displayFolder="" count="2" memberValueDatatype="20" unbalanced="0"/>
    <cacheHierarchy uniqueName="[Zamowienia_sklep].[Ilosc_sztuk]" caption="Ilosc_sztuk" attribute="1" defaultMemberUniqueName="[Zamowienia_sklep].[Ilosc_sztuk].[All]" allUniqueName="[Zamowienia_sklep].[Ilosc_sztuk].[All]" dimensionUniqueName="[Zamowienia_sklep]" displayFolder="" count="2" memberValueDatatype="20" unbalanced="0"/>
    <cacheHierarchy uniqueName="[Zamowienia_sklep].[Priorytet]" caption="Priorytet" attribute="1" defaultMemberUniqueName="[Zamowienia_sklep].[Priorytet].[All]" allUniqueName="[Zamowienia_sklep].[Priorytet].[All]" dimensionUniqueName="[Zamowienia_sklep]" displayFolder="" count="2" memberValueDatatype="130" unbalanced="0">
      <fieldsUsage count="2">
        <fieldUsage x="-1"/>
        <fieldUsage x="1"/>
      </fieldsUsage>
    </cacheHierarchy>
    <cacheHierarchy uniqueName="[Zamowienia_sklep].[Miasto]" caption="Miasto" attribute="1" defaultMemberUniqueName="[Zamowienia_sklep].[Miasto].[All]" allUniqueName="[Zamowienia_sklep].[Miasto].[All]" dimensionUniqueName="[Zamowienia_sklep]" displayFolder="" count="2" memberValueDatatype="130" unbalanced="0"/>
    <cacheHierarchy uniqueName="[Zamowienia_sklep].[Data_Dostawy]" caption="Data_Dostawy" attribute="1" time="1" defaultMemberUniqueName="[Zamowienia_sklep].[Data_Dostawy].[All]" allUniqueName="[Zamowienia_sklep].[Data_Dostawy].[All]" dimensionUniqueName="[Zamowienia_sklep]" displayFolder="" count="2" memberValueDatatype="7" unbalanced="0"/>
    <cacheHierarchy uniqueName="[Zapotrzebowanie_produkcyjne].[Receptury.Surowiec]" caption="Receptury.Surowiec" attribute="1" defaultMemberUniqueName="[Zapotrzebowanie_produkcyjne].[Receptury.Surowiec].[All]" allUniqueName="[Zapotrzebowanie_produkcyjne].[Receptury.Surowiec].[All]" dimensionUniqueName="[Zapotrzebowanie_produkcyjne]" displayFolder="" count="2" memberValueDatatype="130" unbalanced="0"/>
    <cacheHierarchy uniqueName="[Zapotrzebowanie_produkcyjne].[Łączne_zapotrzebowanie_ml_szt]" caption="Łączne_zapotrzebowanie_ml_szt" attribute="1" defaultMemberUniqueName="[Zapotrzebowanie_produkcyjne].[Łączne_zapotrzebowanie_ml_szt].[All]" allUniqueName="[Zapotrzebowanie_produkcyjne].[Łączne_zapotrzebowanie_ml_szt].[All]" dimensionUniqueName="[Zapotrzebowanie_produkcyjne]" displayFolder="" count="2" memberValueDatatype="20" unbalanced="0"/>
    <cacheHierarchy uniqueName="[Zapotrzebowanie_produkcyjne].[Stan_magazynowy]" caption="Stan_magazynowy" attribute="1" defaultMemberUniqueName="[Zapotrzebowanie_produkcyjne].[Stan_magazynowy].[All]" allUniqueName="[Zapotrzebowanie_produkcyjne].[Stan_magazynowy].[All]" dimensionUniqueName="[Zapotrzebowanie_produkcyjne]" displayFolder="" count="2" memberValueDatatype="20" unbalanced="0"/>
    <cacheHierarchy uniqueName="[Zapotrzebowanie_produkcyjne].[Do_zamowienia]" caption="Do_zamowienia" attribute="1" defaultMemberUniqueName="[Zapotrzebowanie_produkcyjne].[Do_zamowienia].[All]" allUniqueName="[Zapotrzebowanie_produkcyjne].[Do_zamowienia].[All]" dimensionUniqueName="[Zapotrzebowanie_produkcyjne]" displayFolder="" count="2" memberValueDatatype="20" unbalanced="0"/>
    <cacheHierarchy uniqueName="[Measures].[__XL_Count Zamowienia_sklep]" caption="__XL_Count Zamowienia_sklep" measure="1" displayFolder="" measureGroup="Zamowienia_sklep" count="0" hidden="1"/>
    <cacheHierarchy uniqueName="[Measures].[__XL_Count Zapotrzebowanie_produkcyjne]" caption="__XL_Count Zapotrzebowanie_produkcyjne" measure="1" displayFolder="" measureGroup="Zapotrzebowanie_produkcyjne" count="0" hidden="1"/>
    <cacheHierarchy uniqueName="[Measures].[__No measures defined]" caption="__No measures defined" measure="1" displayFolder="" count="0" hidden="1"/>
    <cacheHierarchy uniqueName="[Measures].[Suma Do_zamowienia]" caption="Suma Do_zamowienia" measure="1" displayFolder="" measureGroup="Zapotrzebowanie_produkcyjn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Priorytet]" caption="Liczba Priorytet" measure="1" displayFolder="" measureGroup="Zamowienia_sklep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Liczba Nazwa _Produktu]" caption="Liczba Nazwa _Produktu" measure="1" displayFolder="" measureGroup="Zamowienia_sklep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Liczba Ilosc_sztuk]" caption="Liczba Ilosc_sztuk" measure="1" displayFolder="" measureGroup="Zamowienia_sklep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Ilosc_sztuk]" caption="Suma Ilosc_sztuk" measure="1" displayFolder="" measureGroup="Zamowienia_sklep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measure="1" name="Measures" uniqueName="[Measures]" caption="Measures"/>
    <dimension name="Zamowienia_sklep" uniqueName="[Zamowienia_sklep]" caption="Zamowienia_sklep"/>
    <dimension name="Zapotrzebowanie_produkcyjne" uniqueName="[Zapotrzebowanie_produkcyjne]" caption="Zapotrzebowanie_produkcyjne"/>
  </dimensions>
  <measureGroups count="2">
    <measureGroup name="Zamowienia_sklep" caption="Zamowienia_sklep"/>
    <measureGroup name="Zapotrzebowanie_produkcyjne" caption="Zapotrzebowanie_produkcyjne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la" refreshedDate="46079.508299537039" backgroundQuery="1" createdVersion="3" refreshedVersion="8" minRefreshableVersion="3" recordCount="0" supportSubquery="1" supportAdvancedDrill="1" xr:uid="{3D254C00-9AE5-426A-B16A-59B1EF6B4CF1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ostepnosc_surowcow].[Składnik]" caption="Składnik" attribute="1" defaultMemberUniqueName="[Dostepnosc_surowcow].[Składnik].[All]" allUniqueName="[Dostepnosc_surowcow].[Składnik].[All]" dimensionUniqueName="[Dostepnosc_surowcow]" displayFolder="" count="0" memberValueDatatype="130" unbalanced="0"/>
    <cacheHierarchy uniqueName="[Dostepnosc_surowcow].[Stan_Magazynowy]" caption="Stan_Magazynowy" attribute="1" defaultMemberUniqueName="[Dostepnosc_surowcow].[Stan_Magazynowy].[All]" allUniqueName="[Dostepnosc_surowcow].[Stan_Magazynowy].[All]" dimensionUniqueName="[Dostepnosc_surowcow]" displayFolder="" count="0" memberValueDatatype="20" unbalanced="0"/>
    <cacheHierarchy uniqueName="[Dostepnosc_surowcow].[Jednostka]" caption="Jednostka" attribute="1" defaultMemberUniqueName="[Dostepnosc_surowcow].[Jednostka].[All]" allUniqueName="[Dostepnosc_surowcow].[Jednostka].[All]" dimensionUniqueName="[Dostepnosc_surowcow]" displayFolder="" count="0" memberValueDatatype="130" unbalanced="0"/>
    <cacheHierarchy uniqueName="[Dostepnosc_surowcow].[Koszt_jednostkowy_ml_szt]" caption="Koszt_jednostkowy_ml_szt" attribute="1" defaultMemberUniqueName="[Dostepnosc_surowcow].[Koszt_jednostkowy_ml_szt].[All]" allUniqueName="[Dostepnosc_surowcow].[Koszt_jednostkowy_ml_szt].[All]" dimensionUniqueName="[Dostepnosc_surowcow]" displayFolder="" count="0" memberValueDatatype="5" unbalanced="0"/>
    <cacheHierarchy uniqueName="[Dostepnosc_surowcow].[Do_zamowienia_ml_szt]" caption="Do_zamowienia_ml_szt" attribute="1" defaultMemberUniqueName="[Dostepnosc_surowcow].[Do_zamowienia_ml_szt].[All]" allUniqueName="[Dostepnosc_surowcow].[Do_zamowienia_ml_szt].[All]" dimensionUniqueName="[Dostepnosc_surowcow]" displayFolder="" count="0" memberValueDatatype="20" unbalanced="0"/>
    <cacheHierarchy uniqueName="[Dostepnosc_surowcow].[Koszt_zakupu_PLN]" caption="Koszt_zakupu_PLN" attribute="1" defaultMemberUniqueName="[Dostepnosc_surowcow].[Koszt_zakupu_PLN].[All]" allUniqueName="[Dostepnosc_surowcow].[Koszt_zakupu_PLN].[All]" dimensionUniqueName="[Dostepnosc_surowcow]" displayFolder="" count="0" memberValueDatatype="5" unbalanced="0"/>
    <cacheHierarchy uniqueName="[Zamowienia_sklep].[Nazwa _Produktu]" caption="Nazwa _Produktu" attribute="1" defaultMemberUniqueName="[Zamowienia_sklep].[Nazwa _Produktu].[All]" allUniqueName="[Zamowienia_sklep].[Nazwa _Produktu].[All]" dimensionUniqueName="[Zamowienia_sklep]" displayFolder="" count="0" memberValueDatatype="130" unbalanced="0"/>
    <cacheHierarchy uniqueName="[Zamowienia_sklep].[Pojemnosc ml]" caption="Pojemnosc ml" attribute="1" defaultMemberUniqueName="[Zamowienia_sklep].[Pojemnosc ml].[All]" allUniqueName="[Zamowienia_sklep].[Pojemnosc ml].[All]" dimensionUniqueName="[Zamowienia_sklep]" displayFolder="" count="0" memberValueDatatype="20" unbalanced="0"/>
    <cacheHierarchy uniqueName="[Zamowienia_sklep].[Ilosc_sztuk]" caption="Ilosc_sztuk" attribute="1" defaultMemberUniqueName="[Zamowienia_sklep].[Ilosc_sztuk].[All]" allUniqueName="[Zamowienia_sklep].[Ilosc_sztuk].[All]" dimensionUniqueName="[Zamowienia_sklep]" displayFolder="" count="0" memberValueDatatype="20" unbalanced="0"/>
    <cacheHierarchy uniqueName="[Zamowienia_sklep].[Priorytet]" caption="Priorytet" attribute="1" defaultMemberUniqueName="[Zamowienia_sklep].[Priorytet].[All]" allUniqueName="[Zamowienia_sklep].[Priorytet].[All]" dimensionUniqueName="[Zamowienia_sklep]" displayFolder="" count="0" memberValueDatatype="130" unbalanced="0"/>
    <cacheHierarchy uniqueName="[Zamowienia_sklep].[Miasto]" caption="Miasto" attribute="1" defaultMemberUniqueName="[Zamowienia_sklep].[Miasto].[All]" allUniqueName="[Zamowienia_sklep].[Miasto].[All]" dimensionUniqueName="[Zamowienia_sklep]" displayFolder="" count="0" memberValueDatatype="130" unbalanced="0"/>
    <cacheHierarchy uniqueName="[Zamowienia_sklep].[Data_Dostawy]" caption="Data_Dostawy" attribute="1" time="1" defaultMemberUniqueName="[Zamowienia_sklep].[Data_Dostawy].[All]" allUniqueName="[Zamowienia_sklep].[Data_Dostawy].[All]" dimensionUniqueName="[Zamowienia_sklep]" displayFolder="" count="0" memberValueDatatype="7" unbalanced="0"/>
    <cacheHierarchy uniqueName="[Zapotrzebowanie_produkcyjne].[Receptury.Surowiec]" caption="Receptury.Surowiec" attribute="1" defaultMemberUniqueName="[Zapotrzebowanie_produkcyjne].[Receptury.Surowiec].[All]" allUniqueName="[Zapotrzebowanie_produkcyjne].[Receptury.Surowiec].[All]" dimensionUniqueName="[Zapotrzebowanie_produkcyjne]" displayFolder="" count="0" memberValueDatatype="130" unbalanced="0"/>
    <cacheHierarchy uniqueName="[Zapotrzebowanie_produkcyjne].[Łączne_zapotrzebowanie_ml_szt]" caption="Łączne_zapotrzebowanie_ml_szt" attribute="1" defaultMemberUniqueName="[Zapotrzebowanie_produkcyjne].[Łączne_zapotrzebowanie_ml_szt].[All]" allUniqueName="[Zapotrzebowanie_produkcyjne].[Łączne_zapotrzebowanie_ml_szt].[All]" dimensionUniqueName="[Zapotrzebowanie_produkcyjne]" displayFolder="" count="0" memberValueDatatype="20" unbalanced="0"/>
    <cacheHierarchy uniqueName="[Zapotrzebowanie_produkcyjne].[Stan_magazynowy]" caption="Stan_magazynowy" attribute="1" defaultMemberUniqueName="[Zapotrzebowanie_produkcyjne].[Stan_magazynowy].[All]" allUniqueName="[Zapotrzebowanie_produkcyjne].[Stan_magazynowy].[All]" dimensionUniqueName="[Zapotrzebowanie_produkcyjne]" displayFolder="" count="0" memberValueDatatype="20" unbalanced="0"/>
    <cacheHierarchy uniqueName="[Zapotrzebowanie_produkcyjne].[Do_zamowienia]" caption="Do_zamowienia" attribute="1" defaultMemberUniqueName="[Zapotrzebowanie_produkcyjne].[Do_zamowienia].[All]" allUniqueName="[Zapotrzebowanie_produkcyjne].[Do_zamowienia].[All]" dimensionUniqueName="[Zapotrzebowanie_produkcyjne]" displayFolder="" count="0" memberValueDatatype="20" unbalanced="0"/>
    <cacheHierarchy uniqueName="[Measures].[__XL_Count Zamowienia_sklep]" caption="__XL_Count Zamowienia_sklep" measure="1" displayFolder="" measureGroup="Zamowienia_sklep" count="0" hidden="1"/>
    <cacheHierarchy uniqueName="[Measures].[__XL_Count Zapotrzebowanie_produkcyjne]" caption="__XL_Count Zapotrzebowanie_produkcyjne" measure="1" displayFolder="" measureGroup="Zapotrzebowanie_produkcyjne" count="0" hidden="1"/>
    <cacheHierarchy uniqueName="[Measures].[__XL_Count Dostepnosc_surowcow]" caption="__XL_Count Dostepnosc_surowcow" measure="1" displayFolder="" measureGroup="Dostepnosc_surowcow" count="0" hidden="1"/>
    <cacheHierarchy uniqueName="[Measures].[__No measures defined]" caption="__No measures defined" measure="1" displayFolder="" count="0" hidden="1"/>
    <cacheHierarchy uniqueName="[Measures].[Suma Do_zamowienia]" caption="Suma Do_zamowienia" measure="1" displayFolder="" measureGroup="Zapotrzebowanie_produkcyjn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Liczba Priorytet]" caption="Liczba Priorytet" measure="1" displayFolder="" measureGroup="Zamowienia_sklep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Liczba Nazwa _Produktu]" caption="Liczba Nazwa _Produktu" measure="1" displayFolder="" measureGroup="Zamowienia_skle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Liczba Ilosc_sztuk]" caption="Liczba Ilosc_sztuk" measure="1" displayFolder="" measureGroup="Zamowienia_sklep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Ilosc_sztuk]" caption="Suma Ilosc_sztuk" measure="1" displayFolder="" measureGroup="Zamowienia_sklep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o_zamowienia_ml_szt]" caption="Suma Do_zamowienia_ml_szt" measure="1" displayFolder="" measureGroup="Dostepnosc_surowcow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a Koszt_zakupu_PLN]" caption="Suma Koszt_zakupu_PLN" measure="1" displayFolder="" measureGroup="Dostepnosc_surowcow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4">
    <dimension name="Dostepnosc_surowcow" uniqueName="[Dostepnosc_surowcow]" caption="Dostepnosc_surowcow"/>
    <dimension measure="1" name="Measures" uniqueName="[Measures]" caption="Measures"/>
    <dimension name="Zamowienia_sklep" uniqueName="[Zamowienia_sklep]" caption="Zamowienia_sklep"/>
    <dimension name="Zapotrzebowanie_produkcyjne" uniqueName="[Zapotrzebowanie_produkcyjne]" caption="Zapotrzebowanie_produkcyjne"/>
  </dimensions>
  <measureGroups count="3">
    <measureGroup name="Dostepnosc_surowcow" caption="Dostepnosc_surowcow"/>
    <measureGroup name="Zamowienia_sklep" caption="Zamowienia_sklep"/>
    <measureGroup name="Zapotrzebowanie_produkcyjne" caption="Zapotrzebowanie_produkcyjne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licerData="1" pivotCacheId="164537679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E84B6-0E7A-423C-B747-9617154A6876}" name="Tabela przestawna2" cacheId="99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8" indent="0" outline="1" outlineData="1" multipleFieldFilters="0">
  <location ref="H5:I32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2">
    <field x="1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1"/>
    </i>
    <i r="1">
      <x v="6"/>
    </i>
    <i r="1">
      <x v="7"/>
    </i>
    <i r="1">
      <x v="2"/>
    </i>
    <i r="1">
      <x v="3"/>
    </i>
    <i r="1">
      <x v="4"/>
    </i>
    <i r="1">
      <x v="5"/>
    </i>
    <i r="1">
      <x v="8"/>
    </i>
    <i r="1">
      <x v="9"/>
    </i>
    <i r="1">
      <x v="10"/>
    </i>
    <i>
      <x v="2"/>
    </i>
    <i r="1">
      <x/>
    </i>
    <i r="1">
      <x v="1"/>
    </i>
    <i r="1">
      <x v="2"/>
    </i>
    <i r="1">
      <x v="3"/>
    </i>
    <i r="1">
      <x v="11"/>
    </i>
    <i r="1">
      <x v="12"/>
    </i>
    <i r="1">
      <x v="10"/>
    </i>
    <i t="grand">
      <x/>
    </i>
  </rowItems>
  <colItems count="1">
    <i/>
  </colItems>
  <dataFields count="1">
    <dataField name="Suma Ilosc_sztuk" fld="0" baseField="0" baseItem="0"/>
  </dataFields>
  <pivotHierarchies count="1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Zamowienia_sklep]"/>
        <x15:activeTabTopLevelEntity name="[Zapotrzebowanie_produkcyj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4C57C4D1-63E1-49D4-BEB5-098F0195C148}" autoFormatId="16" applyNumberFormats="0" applyBorderFormats="0" applyFontFormats="0" applyPatternFormats="0" applyAlignmentFormats="0" applyWidthHeightFormats="0">
  <queryTableRefresh nextId="7">
    <queryTableFields count="4">
      <queryTableField id="1" name="Receptury.Surowiec" tableColumnId="1"/>
      <queryTableField id="2" name="Łączne_zapotrzebowanie_ml_szt" tableColumnId="2"/>
      <queryTableField id="5" name="Stan_magazynowy_ml_szt" tableColumnId="5"/>
      <queryTableField id="6" name="Do_zamowienia_ml_sz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BE1C9446-4645-41F9-9FD1-960ABB9DADAC}" autoFormatId="16" applyNumberFormats="0" applyBorderFormats="0" applyFontFormats="0" applyPatternFormats="0" applyAlignmentFormats="0" applyWidthHeightFormats="0">
  <queryTableRefresh nextId="5">
    <queryTableFields count="4">
      <queryTableField id="1" name="Miasto" tableColumnId="1"/>
      <queryTableField id="2" name="Priorytet" tableColumnId="2"/>
      <queryTableField id="3" name="Suma_sztuk" tableColumnId="3"/>
      <queryTableField id="4" name="Weryfikacja_transportu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7C1293B-CDD5-43C9-96BC-655EEC94D94B}" autoFormatId="16" applyNumberFormats="0" applyBorderFormats="0" applyFontFormats="0" applyPatternFormats="0" applyAlignmentFormats="0" applyWidthHeightFormats="0">
  <queryTableRefresh nextId="30">
    <queryTableFields count="6">
      <queryTableField id="22" name="Nazwa _Produktu" tableColumnId="4"/>
      <queryTableField id="23" name="Pojemnosc ml" tableColumnId="5"/>
      <queryTableField id="24" name="Ilosc_sztuk" tableColumnId="6"/>
      <queryTableField id="3" name="Priorytet" tableColumnId="3"/>
      <queryTableField id="7" name="Miasto" tableColumnId="7"/>
      <queryTableField id="25" name="Data_Dostawy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C39CB7B-3EFB-417F-93F0-08C0D80902AE}" autoFormatId="16" applyNumberFormats="0" applyBorderFormats="0" applyFontFormats="0" applyPatternFormats="0" applyAlignmentFormats="0" applyWidthHeightFormats="0">
  <queryTableRefresh nextId="6">
    <queryTableFields count="5">
      <queryTableField id="1" name="Produkt" tableColumnId="1"/>
      <queryTableField id="2" name="Wariant" tableColumnId="2"/>
      <queryTableField id="3" name="Surowiec" tableColumnId="3"/>
      <queryTableField id="4" name="Ilość" tableColumnId="4"/>
      <queryTableField id="5" name="Jednostka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19356B7-6F50-4746-A085-C0D97D5A956F}" autoFormatId="16" applyNumberFormats="0" applyBorderFormats="0" applyFontFormats="0" applyPatternFormats="0" applyAlignmentFormats="0" applyWidthHeightFormats="0">
  <queryTableRefresh nextId="9">
    <queryTableFields count="6">
      <queryTableField id="1" name="Składnik" tableColumnId="1"/>
      <queryTableField id="2" name="Stan_Magazynowy" tableColumnId="2"/>
      <queryTableField id="5" name="Jednostka" tableColumnId="5"/>
      <queryTableField id="6" name="Koszt_jednostkowy_ml_szt" tableColumnId="3"/>
      <queryTableField id="7" name="Do_zamowienia" tableColumnId="4"/>
      <queryTableField id="8" name="Koszt_zakupu_PLN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iasto" xr10:uid="{00EBA576-9E2C-4F53-A47C-849B31F37FB4}" sourceName="[Zamowienia_sklep].[Miasto]">
  <pivotTables>
    <pivotTable tabId="2" name="Tabela przestawna2"/>
  </pivotTables>
  <data>
    <olap pivotCacheId="1645376791">
      <levels count="2">
        <level uniqueName="[Zamowienia_sklep].[Miasto].[(All)]" sourceCaption="(All)" count="0"/>
        <level uniqueName="[Zamowienia_sklep].[Miasto].[Miasto]" sourceCaption="Miasto" count="17">
          <ranges>
            <range startItem="0">
              <i n="[Zamowienia_sklep].[Miasto].&amp;[ Białystok]" c=" Białystok"/>
              <i n="[Zamowienia_sklep].[Miasto].&amp;[ Bydgoszcz]" c=" Bydgoszcz"/>
              <i n="[Zamowienia_sklep].[Miasto].&amp;[ Częstochowa]" c=" Częstochowa"/>
              <i n="[Zamowienia_sklep].[Miasto].&amp;[ Gdańsk]" c=" Gdańsk"/>
              <i n="[Zamowienia_sklep].[Miasto].&amp;[ Gdynia]" c=" Gdynia"/>
              <i n="[Zamowienia_sklep].[Miasto].&amp;[ Katowice]" c=" Katowice"/>
              <i n="[Zamowienia_sklep].[Miasto].&amp;[ Kielce]" c=" Kielce"/>
              <i n="[Zamowienia_sklep].[Miasto].&amp;[ Kraków]" c=" Kraków"/>
              <i n="[Zamowienia_sklep].[Miasto].&amp;[ Lublin]" c=" Lublin"/>
              <i n="[Zamowienia_sklep].[Miasto].&amp;[ Łódź]" c=" Łódź"/>
              <i n="[Zamowienia_sklep].[Miasto].&amp;[ Poznań]" c=" Poznań"/>
              <i n="[Zamowienia_sklep].[Miasto].&amp;[ Rzeszów]" c=" Rzeszów"/>
              <i n="[Zamowienia_sklep].[Miasto].&amp;[ Swarzędz]" c=" Swarzędz"/>
              <i n="[Zamowienia_sklep].[Miasto].&amp;[ Szczecin]" c=" Szczecin"/>
              <i n="[Zamowienia_sklep].[Miasto].&amp;[ Toruń]" c=" Toruń"/>
              <i n="[Zamowienia_sklep].[Miasto].&amp;[ Warszawa]" c=" Warszawa"/>
              <i n="[Zamowienia_sklep].[Miasto].&amp;[ Wrocław]" c=" Wrocław"/>
            </range>
          </ranges>
        </level>
      </levels>
      <selections count="1">
        <selection n="[Zamowienia_sklep].[Miast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iasto" xr10:uid="{0CF48504-E397-47F5-A623-40972D333CF3}" cache="Fragmentator_Miasto" caption="Miasto" level="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1D3CC-831B-4643-9674-4B38AC64BAF3}" name="Zapotrzebowanie_produkcyjne__2" displayName="Zapotrzebowanie_produkcyjne__2" ref="A1:D18" tableType="queryTable" totalsRowShown="0">
  <autoFilter ref="A1:D18" xr:uid="{3F21D3CC-831B-4643-9674-4B38AC64BAF3}"/>
  <tableColumns count="4">
    <tableColumn id="1" xr3:uid="{2B59A781-45B5-44B5-A515-1B2C99D23B78}" uniqueName="1" name="Receptury.Surowiec" queryTableFieldId="1" dataDxfId="21"/>
    <tableColumn id="2" xr3:uid="{6ED30EE2-ECA9-4E34-BA22-C042450EC420}" uniqueName="2" name="Łączne_zapotrzebowanie_ml_szt" queryTableFieldId="2"/>
    <tableColumn id="5" xr3:uid="{E6D0DB24-56EF-424A-9B88-B47291F976AB}" uniqueName="5" name="Stan_magazynowy_ml_szt" queryTableFieldId="5"/>
    <tableColumn id="6" xr3:uid="{9DFC2D30-2C5D-405A-80EB-0F9DD0407E25}" uniqueName="6" name="Do_zamowienia_ml_sz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7857AF-D209-4F2E-B929-08E2F40A722A}" name="Transport" displayName="Transport" ref="A1:D20" tableType="queryTable" totalsRowShown="0">
  <autoFilter ref="A1:D20" xr:uid="{ED7857AF-D209-4F2E-B929-08E2F40A722A}"/>
  <tableColumns count="4">
    <tableColumn id="1" xr3:uid="{390C8586-82AD-400E-AFEF-EC8730287AB8}" uniqueName="1" name="Miasto" queryTableFieldId="1" dataDxfId="20"/>
    <tableColumn id="2" xr3:uid="{A98CA023-2727-488D-A58F-8E41F7B1D977}" uniqueName="2" name="Priorytet" queryTableFieldId="2" dataDxfId="19"/>
    <tableColumn id="3" xr3:uid="{A07BC937-19B4-483B-ACFE-36FD916F0D7A}" uniqueName="3" name="Suma_sztuk" queryTableFieldId="3"/>
    <tableColumn id="4" xr3:uid="{2CF49919-09BB-480E-936D-B87485114205}" uniqueName="4" name="Weryfikacja_transportu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0EAA84-6A3C-47ED-A74F-4C0491EA412F}" name="Zamowienia_sklep" displayName="Zamowienia_sklep" ref="A1:F31" tableType="queryTable" totalsRowShown="0">
  <autoFilter ref="A1:F31" xr:uid="{F20EAA84-6A3C-47ED-A74F-4C0491EA412F}"/>
  <tableColumns count="6">
    <tableColumn id="4" xr3:uid="{6AD2636E-BF6B-41F5-88E8-B52B81D8540B}" uniqueName="4" name="Nazwa _Produktu" queryTableFieldId="22" dataDxfId="11"/>
    <tableColumn id="5" xr3:uid="{EF8FA77B-928E-43A1-979F-25DA6768CB18}" uniqueName="5" name="Pojemnosc ml" queryTableFieldId="23" dataDxfId="10"/>
    <tableColumn id="6" xr3:uid="{38EFD279-7041-4234-ADFE-EE96F2B6EDEA}" uniqueName="6" name="Ilosc_sztuk" queryTableFieldId="24" dataDxfId="9"/>
    <tableColumn id="3" xr3:uid="{96ADB46F-A040-438A-8F25-8E4E9D5F447D}" uniqueName="3" name="Priorytet" queryTableFieldId="3" dataDxfId="8"/>
    <tableColumn id="7" xr3:uid="{20AEAABD-9A1A-4077-A26B-FA59C14A15FB}" uniqueName="7" name="Miasto" queryTableFieldId="7" dataDxfId="7"/>
    <tableColumn id="8" xr3:uid="{ADDD3D5F-F632-4268-8244-0211BC82F53E}" uniqueName="8" name="Data_Dostawy" queryTableFieldId="25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13E54-6ACA-4B6D-A739-27EA09360EF3}" name="Recepury" displayName="Recepury" ref="A1:E82" tableType="queryTable" totalsRowShown="0">
  <autoFilter ref="A1:E82" xr:uid="{31713E54-6ACA-4B6D-A739-27EA09360EF3}"/>
  <tableColumns count="5">
    <tableColumn id="1" xr3:uid="{44F7225D-032F-497B-8753-AE291B144CBA}" uniqueName="1" name="Produkt" queryTableFieldId="1" dataDxfId="18"/>
    <tableColumn id="2" xr3:uid="{5BEF047C-AC18-47DA-9CC4-EEC24CEFFC1A}" uniqueName="2" name="Wariant" queryTableFieldId="2" dataDxfId="17"/>
    <tableColumn id="3" xr3:uid="{093EC4F2-CC8D-4DCC-B0A9-A44DEA0A4D02}" uniqueName="3" name="Surowiec" queryTableFieldId="3" dataDxfId="16"/>
    <tableColumn id="4" xr3:uid="{13217422-3191-46A3-A704-6ECDC71A3EF1}" uniqueName="4" name="Ilość" queryTableFieldId="4"/>
    <tableColumn id="5" xr3:uid="{00EFD6B4-96A4-4A08-8482-89B3D7C22AB2}" uniqueName="5" name="Jednostka" queryTableFieldId="5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488C0B-C2E4-4BD7-9EE2-FA72FE4AEBB6}" name="Dostepnosc_surowcow" displayName="Dostepnosc_surowcow" ref="A1:F26" tableType="queryTable" totalsRowShown="0">
  <autoFilter ref="A1:F26" xr:uid="{41488C0B-C2E4-4BD7-9EE2-FA72FE4AEBB6}"/>
  <tableColumns count="6">
    <tableColumn id="1" xr3:uid="{98CFCDD9-6577-4A30-903D-4F8DB0C96531}" uniqueName="1" name="Składnik" queryTableFieldId="1" dataDxfId="14"/>
    <tableColumn id="2" xr3:uid="{8F1E3EE0-2238-4D2B-B514-A7D440BB73B8}" uniqueName="2" name="Stan_Magazynowy" queryTableFieldId="2" dataDxfId="13"/>
    <tableColumn id="5" xr3:uid="{ECF8498D-EC4B-47C4-8B69-7C57270E5DFF}" uniqueName="5" name="Jednostka" queryTableFieldId="5" dataDxfId="12"/>
    <tableColumn id="3" xr3:uid="{7400AF8E-B7F9-4484-8BA7-4D917F366803}" uniqueName="3" name="Koszt_jednostkowy_ml_szt" queryTableFieldId="6"/>
    <tableColumn id="4" xr3:uid="{65760991-821E-4BD9-9186-89476445CF94}" uniqueName="4" name="Do_zamowienia_ml_szt" queryTableFieldId="7"/>
    <tableColumn id="6" xr3:uid="{2C4A8A99-CF4E-4D71-AA58-91734B7B6030}" uniqueName="6" name="Koszt_zakupu_PLN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0FBFD8-61F3-4B76-BF29-3E0CEB9D2413}" name="Tabela7" displayName="Tabela7" ref="A2:E95" totalsRowShown="0" headerRowDxfId="25">
  <autoFilter ref="A2:E95" xr:uid="{930FBFD8-61F3-4B76-BF29-3E0CEB9D2413}"/>
  <tableColumns count="5">
    <tableColumn id="1" xr3:uid="{2AC60BB4-0AB8-4595-89EE-524B10829C1A}" name="Produkt"/>
    <tableColumn id="2" xr3:uid="{8E3B4B1B-323E-41CC-B2A5-820FD135F80B}" name="Wariant"/>
    <tableColumn id="3" xr3:uid="{5C837F61-BA1C-499D-A2CD-8D7B1A4BBA3A}" name="Surowiec"/>
    <tableColumn id="4" xr3:uid="{338C33C1-18CD-44A6-BFAE-30FF07747976}" name="Ilość"/>
    <tableColumn id="5" xr3:uid="{57AA13A8-D727-407E-AC4D-A50A32E79AC9}" name="Jednostk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12F7E7-AF0E-46ED-854B-BC5701B4D262}" name="Tabela2" displayName="Tabela2" ref="A2:A65" totalsRowShown="0">
  <autoFilter ref="A2:A65" xr:uid="{6B12F7E7-AF0E-46ED-854B-BC5701B4D262}"/>
  <tableColumns count="1">
    <tableColumn id="1" xr3:uid="{EEA0E281-8FE5-4FDC-84AF-0596BD9D8FB0}" name="Produkt | Ilosc_Sztuk | Priorytet | Data_Dostawy |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A31021-D620-471E-923B-88E96A460BDC}" name="Tabela4" displayName="Tabela4" ref="A2:A37" totalsRowShown="0">
  <autoFilter ref="A2:A37" xr:uid="{5BA31021-D620-471E-923B-88E96A460BDC}"/>
  <tableColumns count="1">
    <tableColumn id="1" xr3:uid="{AE893F1D-F232-43B0-B870-DF4119782791}" name="| Skladnik | Stan_Magazynowy_L | Koszt_za_L |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7D43-937E-40CB-97F0-F3A4B4CC9008}">
  <dimension ref="A1:D18"/>
  <sheetViews>
    <sheetView workbookViewId="0">
      <selection activeCell="E16" sqref="E16"/>
    </sheetView>
  </sheetViews>
  <sheetFormatPr defaultRowHeight="15" x14ac:dyDescent="0.25"/>
  <cols>
    <col min="1" max="1" width="21.7109375" bestFit="1" customWidth="1"/>
    <col min="2" max="2" width="32.7109375" bestFit="1" customWidth="1"/>
    <col min="3" max="3" width="26.42578125" bestFit="1" customWidth="1"/>
    <col min="4" max="4" width="24.28515625" bestFit="1" customWidth="1"/>
    <col min="5" max="5" width="19.7109375" bestFit="1" customWidth="1"/>
    <col min="6" max="6" width="17.42578125" bestFit="1" customWidth="1"/>
  </cols>
  <sheetData>
    <row r="1" spans="1:4" x14ac:dyDescent="0.25">
      <c r="A1" t="s">
        <v>116</v>
      </c>
      <c r="B1" t="s">
        <v>117</v>
      </c>
      <c r="C1" t="s">
        <v>135</v>
      </c>
      <c r="D1" t="s">
        <v>136</v>
      </c>
    </row>
    <row r="2" spans="1:4" x14ac:dyDescent="0.25">
      <c r="A2" s="1" t="s">
        <v>102</v>
      </c>
      <c r="B2">
        <v>1100</v>
      </c>
      <c r="C2">
        <v>12000</v>
      </c>
      <c r="D2">
        <v>10900</v>
      </c>
    </row>
    <row r="3" spans="1:4" x14ac:dyDescent="0.25">
      <c r="A3" s="1" t="s">
        <v>104</v>
      </c>
      <c r="B3">
        <v>800</v>
      </c>
      <c r="C3">
        <v>8000</v>
      </c>
      <c r="D3">
        <v>7200</v>
      </c>
    </row>
    <row r="4" spans="1:4" x14ac:dyDescent="0.25">
      <c r="A4" s="1" t="s">
        <v>114</v>
      </c>
      <c r="B4">
        <v>26550</v>
      </c>
      <c r="C4">
        <v>18000</v>
      </c>
      <c r="D4">
        <v>-8550</v>
      </c>
    </row>
    <row r="5" spans="1:4" x14ac:dyDescent="0.25">
      <c r="A5" s="1" t="s">
        <v>94</v>
      </c>
      <c r="B5">
        <v>18900</v>
      </c>
      <c r="C5">
        <v>15000</v>
      </c>
      <c r="D5">
        <v>-3900</v>
      </c>
    </row>
    <row r="6" spans="1:4" x14ac:dyDescent="0.25">
      <c r="A6" s="1" t="s">
        <v>111</v>
      </c>
      <c r="B6">
        <v>34650</v>
      </c>
      <c r="C6">
        <v>25000</v>
      </c>
      <c r="D6">
        <v>-9650</v>
      </c>
    </row>
    <row r="7" spans="1:4" x14ac:dyDescent="0.25">
      <c r="A7" s="1" t="s">
        <v>98</v>
      </c>
      <c r="B7">
        <v>7400</v>
      </c>
      <c r="C7">
        <v>20000</v>
      </c>
      <c r="D7">
        <v>12600</v>
      </c>
    </row>
    <row r="8" spans="1:4" x14ac:dyDescent="0.25">
      <c r="A8" s="1" t="s">
        <v>100</v>
      </c>
      <c r="B8">
        <v>1100</v>
      </c>
      <c r="C8">
        <v>10000</v>
      </c>
      <c r="D8">
        <v>8900</v>
      </c>
    </row>
    <row r="9" spans="1:4" x14ac:dyDescent="0.25">
      <c r="A9" s="1" t="s">
        <v>84</v>
      </c>
      <c r="B9">
        <v>5100</v>
      </c>
      <c r="C9">
        <v>10000</v>
      </c>
      <c r="D9">
        <v>4900</v>
      </c>
    </row>
    <row r="10" spans="1:4" x14ac:dyDescent="0.25">
      <c r="A10" s="1" t="s">
        <v>81</v>
      </c>
      <c r="B10">
        <v>18600</v>
      </c>
      <c r="C10">
        <v>50000</v>
      </c>
      <c r="D10">
        <v>31400</v>
      </c>
    </row>
    <row r="11" spans="1:4" x14ac:dyDescent="0.25">
      <c r="A11" s="1" t="s">
        <v>83</v>
      </c>
      <c r="B11">
        <v>8100</v>
      </c>
      <c r="C11">
        <v>15000</v>
      </c>
      <c r="D11">
        <v>6900</v>
      </c>
    </row>
    <row r="12" spans="1:4" x14ac:dyDescent="0.25">
      <c r="A12" s="1" t="s">
        <v>108</v>
      </c>
      <c r="B12">
        <v>675</v>
      </c>
      <c r="C12">
        <v>5000</v>
      </c>
      <c r="D12">
        <v>4325</v>
      </c>
    </row>
    <row r="13" spans="1:4" x14ac:dyDescent="0.25">
      <c r="A13" s="1" t="s">
        <v>95</v>
      </c>
      <c r="B13">
        <v>23700</v>
      </c>
      <c r="C13">
        <v>60000</v>
      </c>
      <c r="D13">
        <v>36300</v>
      </c>
    </row>
    <row r="14" spans="1:4" x14ac:dyDescent="0.25">
      <c r="A14" s="1" t="s">
        <v>112</v>
      </c>
      <c r="B14">
        <v>8100</v>
      </c>
      <c r="C14">
        <v>20000</v>
      </c>
      <c r="D14">
        <v>11900</v>
      </c>
    </row>
    <row r="15" spans="1:4" x14ac:dyDescent="0.25">
      <c r="A15" s="1" t="s">
        <v>93</v>
      </c>
      <c r="B15">
        <v>486275</v>
      </c>
      <c r="C15">
        <v>600000</v>
      </c>
      <c r="D15">
        <v>113725</v>
      </c>
    </row>
    <row r="16" spans="1:4" x14ac:dyDescent="0.25">
      <c r="A16" s="1" t="s">
        <v>91</v>
      </c>
      <c r="B16">
        <v>586275</v>
      </c>
      <c r="C16">
        <v>500000</v>
      </c>
      <c r="D16">
        <v>-86275</v>
      </c>
    </row>
    <row r="17" spans="1:4" x14ac:dyDescent="0.25">
      <c r="A17" s="1" t="s">
        <v>80</v>
      </c>
      <c r="B17">
        <v>17600</v>
      </c>
      <c r="C17">
        <v>50000</v>
      </c>
      <c r="D17">
        <v>32400</v>
      </c>
    </row>
    <row r="18" spans="1:4" x14ac:dyDescent="0.25">
      <c r="A18" s="1" t="s">
        <v>96</v>
      </c>
      <c r="B18">
        <v>31800</v>
      </c>
      <c r="C18">
        <v>80000</v>
      </c>
      <c r="D18">
        <v>48200</v>
      </c>
    </row>
  </sheetData>
  <phoneticPr fontId="2" type="noConversion"/>
  <conditionalFormatting sqref="D2:D18">
    <cfRule type="cellIs" dxfId="0" priority="3" operator="lessThan">
      <formula>0</formula>
    </cfRule>
    <cfRule type="cellIs" dxfId="1" priority="2" operator="between">
      <formula>0</formula>
      <formula>5000</formula>
    </cfRule>
    <cfRule type="cellIs" dxfId="2" priority="1" operator="greaterThan">
      <formula>5000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055F-023B-4E54-9BFF-03D9640D812D}">
  <dimension ref="A1:D20"/>
  <sheetViews>
    <sheetView workbookViewId="0"/>
  </sheetViews>
  <sheetFormatPr defaultRowHeight="15" x14ac:dyDescent="0.25"/>
  <cols>
    <col min="1" max="1" width="13.140625" bestFit="1" customWidth="1"/>
    <col min="2" max="2" width="11.140625" bestFit="1" customWidth="1"/>
    <col min="3" max="3" width="13.85546875" bestFit="1" customWidth="1"/>
    <col min="4" max="4" width="25.5703125" bestFit="1" customWidth="1"/>
  </cols>
  <sheetData>
    <row r="1" spans="1:4" x14ac:dyDescent="0.25">
      <c r="A1" t="s">
        <v>35</v>
      </c>
      <c r="B1" t="s">
        <v>3</v>
      </c>
      <c r="C1" t="s">
        <v>130</v>
      </c>
      <c r="D1" t="s">
        <v>131</v>
      </c>
    </row>
    <row r="2" spans="1:4" x14ac:dyDescent="0.25">
      <c r="A2" s="1" t="s">
        <v>46</v>
      </c>
      <c r="B2" s="1" t="s">
        <v>4</v>
      </c>
      <c r="C2">
        <v>12600</v>
      </c>
      <c r="D2" t="s">
        <v>118</v>
      </c>
    </row>
    <row r="3" spans="1:4" x14ac:dyDescent="0.25">
      <c r="A3" s="1" t="s">
        <v>46</v>
      </c>
      <c r="B3" s="1" t="s">
        <v>5</v>
      </c>
      <c r="C3">
        <v>5300</v>
      </c>
      <c r="D3" t="s">
        <v>118</v>
      </c>
    </row>
    <row r="4" spans="1:4" x14ac:dyDescent="0.25">
      <c r="A4" s="1" t="s">
        <v>47</v>
      </c>
      <c r="B4" s="1" t="s">
        <v>4</v>
      </c>
      <c r="C4">
        <v>800</v>
      </c>
      <c r="D4" t="s">
        <v>132</v>
      </c>
    </row>
    <row r="5" spans="1:4" x14ac:dyDescent="0.25">
      <c r="A5" s="1" t="s">
        <v>48</v>
      </c>
      <c r="B5" s="1" t="s">
        <v>6</v>
      </c>
      <c r="C5">
        <v>300</v>
      </c>
      <c r="D5" t="s">
        <v>132</v>
      </c>
    </row>
    <row r="6" spans="1:4" x14ac:dyDescent="0.25">
      <c r="A6" s="1" t="s">
        <v>49</v>
      </c>
      <c r="B6" s="1" t="s">
        <v>5</v>
      </c>
      <c r="C6">
        <v>1200</v>
      </c>
      <c r="D6" t="s">
        <v>132</v>
      </c>
    </row>
    <row r="7" spans="1:4" x14ac:dyDescent="0.25">
      <c r="A7" s="1" t="s">
        <v>50</v>
      </c>
      <c r="B7" s="1" t="s">
        <v>5</v>
      </c>
      <c r="C7">
        <v>900</v>
      </c>
      <c r="D7" t="s">
        <v>132</v>
      </c>
    </row>
    <row r="8" spans="1:4" x14ac:dyDescent="0.25">
      <c r="A8" s="1" t="s">
        <v>51</v>
      </c>
      <c r="B8" s="1" t="s">
        <v>6</v>
      </c>
      <c r="C8">
        <v>600</v>
      </c>
      <c r="D8" t="s">
        <v>132</v>
      </c>
    </row>
    <row r="9" spans="1:4" x14ac:dyDescent="0.25">
      <c r="A9" s="1" t="s">
        <v>52</v>
      </c>
      <c r="B9" s="1" t="s">
        <v>4</v>
      </c>
      <c r="C9">
        <v>150</v>
      </c>
      <c r="D9" t="s">
        <v>132</v>
      </c>
    </row>
    <row r="10" spans="1:4" x14ac:dyDescent="0.25">
      <c r="A10" s="1" t="s">
        <v>53</v>
      </c>
      <c r="B10" s="1" t="s">
        <v>5</v>
      </c>
      <c r="C10">
        <v>2100</v>
      </c>
      <c r="D10" t="s">
        <v>118</v>
      </c>
    </row>
    <row r="11" spans="1:4" x14ac:dyDescent="0.25">
      <c r="A11" s="1" t="s">
        <v>54</v>
      </c>
      <c r="B11" s="1" t="s">
        <v>6</v>
      </c>
      <c r="C11">
        <v>400</v>
      </c>
      <c r="D11" t="s">
        <v>132</v>
      </c>
    </row>
    <row r="12" spans="1:4" x14ac:dyDescent="0.25">
      <c r="A12" s="1" t="s">
        <v>55</v>
      </c>
      <c r="B12" s="1" t="s">
        <v>5</v>
      </c>
      <c r="C12">
        <v>950</v>
      </c>
      <c r="D12" t="s">
        <v>132</v>
      </c>
    </row>
    <row r="13" spans="1:4" x14ac:dyDescent="0.25">
      <c r="A13" s="1" t="s">
        <v>56</v>
      </c>
      <c r="B13" s="1" t="s">
        <v>5</v>
      </c>
      <c r="C13">
        <v>1100</v>
      </c>
      <c r="D13" t="s">
        <v>132</v>
      </c>
    </row>
    <row r="14" spans="1:4" x14ac:dyDescent="0.25">
      <c r="A14" s="1" t="s">
        <v>57</v>
      </c>
      <c r="B14" s="1" t="s">
        <v>6</v>
      </c>
      <c r="C14">
        <v>700</v>
      </c>
      <c r="D14" t="s">
        <v>132</v>
      </c>
    </row>
    <row r="15" spans="1:4" x14ac:dyDescent="0.25">
      <c r="A15" s="1" t="s">
        <v>58</v>
      </c>
      <c r="B15" s="1" t="s">
        <v>5</v>
      </c>
      <c r="C15">
        <v>450</v>
      </c>
      <c r="D15" t="s">
        <v>132</v>
      </c>
    </row>
    <row r="16" spans="1:4" x14ac:dyDescent="0.25">
      <c r="A16" s="1" t="s">
        <v>59</v>
      </c>
      <c r="B16" s="1" t="s">
        <v>6</v>
      </c>
      <c r="C16">
        <v>1400</v>
      </c>
      <c r="D16" t="s">
        <v>132</v>
      </c>
    </row>
    <row r="17" spans="1:4" x14ac:dyDescent="0.25">
      <c r="A17" s="1" t="s">
        <v>60</v>
      </c>
      <c r="B17" s="1" t="s">
        <v>5</v>
      </c>
      <c r="C17">
        <v>800</v>
      </c>
      <c r="D17" t="s">
        <v>132</v>
      </c>
    </row>
    <row r="18" spans="1:4" x14ac:dyDescent="0.25">
      <c r="A18" s="1" t="s">
        <v>48</v>
      </c>
      <c r="B18" s="1" t="s">
        <v>4</v>
      </c>
      <c r="C18">
        <v>100</v>
      </c>
      <c r="D18" t="s">
        <v>132</v>
      </c>
    </row>
    <row r="19" spans="1:4" x14ac:dyDescent="0.25">
      <c r="A19" s="1" t="s">
        <v>61</v>
      </c>
      <c r="B19" s="1" t="s">
        <v>6</v>
      </c>
      <c r="C19">
        <v>1100</v>
      </c>
      <c r="D19" t="s">
        <v>132</v>
      </c>
    </row>
    <row r="20" spans="1:4" x14ac:dyDescent="0.25">
      <c r="A20" s="1" t="s">
        <v>62</v>
      </c>
      <c r="B20" s="1" t="s">
        <v>5</v>
      </c>
      <c r="C20">
        <v>850</v>
      </c>
      <c r="D20" t="s">
        <v>132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7082C-38BA-4D71-854F-83B1AA9ABB2A}">
  <dimension ref="A1:I32"/>
  <sheetViews>
    <sheetView topLeftCell="E14" workbookViewId="0">
      <selection activeCell="H5" sqref="H5"/>
    </sheetView>
  </sheetViews>
  <sheetFormatPr defaultRowHeight="15" x14ac:dyDescent="0.25"/>
  <cols>
    <col min="1" max="1" width="18.5703125" bestFit="1" customWidth="1"/>
    <col min="2" max="2" width="16.140625" bestFit="1" customWidth="1"/>
    <col min="3" max="3" width="13.140625" bestFit="1" customWidth="1"/>
    <col min="4" max="4" width="11.140625" customWidth="1"/>
    <col min="5" max="5" width="13.140625" bestFit="1" customWidth="1"/>
    <col min="6" max="6" width="16.140625" bestFit="1" customWidth="1"/>
    <col min="7" max="7" width="13.7109375" bestFit="1" customWidth="1"/>
    <col min="8" max="8" width="19.85546875" bestFit="1" customWidth="1"/>
    <col min="9" max="9" width="16.42578125" bestFit="1" customWidth="1"/>
    <col min="10" max="10" width="20.7109375" bestFit="1" customWidth="1"/>
    <col min="11" max="13" width="5.42578125" bestFit="1" customWidth="1"/>
    <col min="14" max="14" width="4.42578125" bestFit="1" customWidth="1"/>
    <col min="15" max="17" width="5.42578125" bestFit="1" customWidth="1"/>
    <col min="18" max="18" width="4.42578125" bestFit="1" customWidth="1"/>
    <col min="19" max="22" width="5.42578125" bestFit="1" customWidth="1"/>
    <col min="23" max="32" width="4.42578125" bestFit="1" customWidth="1"/>
    <col min="33" max="33" width="14.42578125" bestFit="1" customWidth="1"/>
  </cols>
  <sheetData>
    <row r="1" spans="1:9" x14ac:dyDescent="0.25">
      <c r="A1" t="s">
        <v>43</v>
      </c>
      <c r="B1" t="s">
        <v>119</v>
      </c>
      <c r="C1" t="s">
        <v>44</v>
      </c>
      <c r="D1" t="s">
        <v>3</v>
      </c>
      <c r="E1" t="s">
        <v>35</v>
      </c>
      <c r="F1" t="s">
        <v>45</v>
      </c>
    </row>
    <row r="2" spans="1:9" x14ac:dyDescent="0.25">
      <c r="A2" s="1" t="s">
        <v>120</v>
      </c>
      <c r="B2" s="1">
        <v>10</v>
      </c>
      <c r="C2" s="1">
        <v>1500</v>
      </c>
      <c r="D2" s="1" t="s">
        <v>4</v>
      </c>
      <c r="E2" s="1" t="s">
        <v>46</v>
      </c>
      <c r="F2" s="2">
        <v>46082</v>
      </c>
    </row>
    <row r="3" spans="1:9" x14ac:dyDescent="0.25">
      <c r="A3" s="1" t="s">
        <v>121</v>
      </c>
      <c r="B3" s="1">
        <v>10</v>
      </c>
      <c r="C3" s="1">
        <v>2000</v>
      </c>
      <c r="D3" s="1" t="s">
        <v>5</v>
      </c>
      <c r="E3" s="1" t="s">
        <v>46</v>
      </c>
      <c r="F3" s="2">
        <v>46083</v>
      </c>
    </row>
    <row r="4" spans="1:9" x14ac:dyDescent="0.25">
      <c r="A4" s="1" t="s">
        <v>122</v>
      </c>
      <c r="B4" s="1">
        <v>100</v>
      </c>
      <c r="C4" s="1">
        <v>800</v>
      </c>
      <c r="D4" s="1" t="s">
        <v>4</v>
      </c>
      <c r="E4" s="1" t="s">
        <v>47</v>
      </c>
      <c r="F4" s="2">
        <v>46082</v>
      </c>
    </row>
    <row r="5" spans="1:9" x14ac:dyDescent="0.25">
      <c r="A5" s="1" t="s">
        <v>36</v>
      </c>
      <c r="B5" s="1">
        <v>10</v>
      </c>
      <c r="C5" s="1">
        <v>300</v>
      </c>
      <c r="D5" s="1" t="s">
        <v>6</v>
      </c>
      <c r="E5" s="1" t="s">
        <v>48</v>
      </c>
      <c r="F5" s="2">
        <v>46086</v>
      </c>
      <c r="H5" s="4" t="s">
        <v>137</v>
      </c>
      <c r="I5" t="s">
        <v>142</v>
      </c>
    </row>
    <row r="6" spans="1:9" x14ac:dyDescent="0.25">
      <c r="A6" s="1" t="s">
        <v>123</v>
      </c>
      <c r="B6" s="1">
        <v>60</v>
      </c>
      <c r="C6" s="1">
        <v>1200</v>
      </c>
      <c r="D6" s="1" t="s">
        <v>5</v>
      </c>
      <c r="E6" s="1" t="s">
        <v>49</v>
      </c>
      <c r="F6" s="2">
        <v>46084</v>
      </c>
      <c r="H6" s="5" t="s">
        <v>140</v>
      </c>
      <c r="I6" s="1"/>
    </row>
    <row r="7" spans="1:9" x14ac:dyDescent="0.25">
      <c r="A7" s="1" t="s">
        <v>120</v>
      </c>
      <c r="B7" s="1">
        <v>10</v>
      </c>
      <c r="C7" s="1">
        <v>900</v>
      </c>
      <c r="D7" s="1" t="s">
        <v>5</v>
      </c>
      <c r="E7" s="1" t="s">
        <v>50</v>
      </c>
      <c r="F7" s="2">
        <v>46085</v>
      </c>
      <c r="H7" s="6" t="s">
        <v>105</v>
      </c>
      <c r="I7" s="1">
        <v>400</v>
      </c>
    </row>
    <row r="8" spans="1:9" x14ac:dyDescent="0.25">
      <c r="A8" s="1" t="s">
        <v>124</v>
      </c>
      <c r="B8" s="1">
        <v>100</v>
      </c>
      <c r="C8" s="1">
        <v>1500</v>
      </c>
      <c r="D8" s="1" t="s">
        <v>4</v>
      </c>
      <c r="E8" s="1" t="s">
        <v>46</v>
      </c>
      <c r="F8" s="2">
        <v>46082</v>
      </c>
      <c r="H8" s="6" t="s">
        <v>107</v>
      </c>
      <c r="I8" s="1">
        <v>700</v>
      </c>
    </row>
    <row r="9" spans="1:9" x14ac:dyDescent="0.25">
      <c r="A9" s="1" t="s">
        <v>125</v>
      </c>
      <c r="B9" s="1">
        <v>10</v>
      </c>
      <c r="C9" s="1">
        <v>600</v>
      </c>
      <c r="D9" s="1" t="s">
        <v>6</v>
      </c>
      <c r="E9" s="1" t="s">
        <v>51</v>
      </c>
      <c r="F9" s="2">
        <v>46087</v>
      </c>
      <c r="H9" s="6" t="s">
        <v>89</v>
      </c>
      <c r="I9" s="1">
        <v>1100</v>
      </c>
    </row>
    <row r="10" spans="1:9" x14ac:dyDescent="0.25">
      <c r="A10" s="1" t="s">
        <v>37</v>
      </c>
      <c r="B10" s="1">
        <v>10</v>
      </c>
      <c r="C10" s="1">
        <v>150</v>
      </c>
      <c r="D10" s="1" t="s">
        <v>4</v>
      </c>
      <c r="E10" s="1" t="s">
        <v>52</v>
      </c>
      <c r="F10" s="2">
        <v>46083</v>
      </c>
      <c r="H10" s="6" t="s">
        <v>97</v>
      </c>
      <c r="I10" s="1">
        <v>1400</v>
      </c>
    </row>
    <row r="11" spans="1:9" x14ac:dyDescent="0.25">
      <c r="A11" s="1" t="s">
        <v>126</v>
      </c>
      <c r="B11" s="1">
        <v>60</v>
      </c>
      <c r="C11" s="1">
        <v>2100</v>
      </c>
      <c r="D11" s="1" t="s">
        <v>5</v>
      </c>
      <c r="E11" s="1" t="s">
        <v>53</v>
      </c>
      <c r="F11" s="2">
        <v>46085</v>
      </c>
      <c r="H11" s="6" t="s">
        <v>99</v>
      </c>
      <c r="I11" s="1">
        <v>600</v>
      </c>
    </row>
    <row r="12" spans="1:9" x14ac:dyDescent="0.25">
      <c r="A12" s="1" t="s">
        <v>120</v>
      </c>
      <c r="B12" s="1">
        <v>10</v>
      </c>
      <c r="C12" s="1">
        <v>1200</v>
      </c>
      <c r="D12" s="1" t="s">
        <v>5</v>
      </c>
      <c r="E12" s="1" t="s">
        <v>46</v>
      </c>
      <c r="F12" s="2">
        <v>46086</v>
      </c>
      <c r="H12" s="6" t="s">
        <v>36</v>
      </c>
      <c r="I12" s="1">
        <v>300</v>
      </c>
    </row>
    <row r="13" spans="1:9" x14ac:dyDescent="0.25">
      <c r="A13" s="1" t="s">
        <v>122</v>
      </c>
      <c r="B13" s="1">
        <v>100</v>
      </c>
      <c r="C13" s="1">
        <v>400</v>
      </c>
      <c r="D13" s="1" t="s">
        <v>6</v>
      </c>
      <c r="E13" s="1" t="s">
        <v>54</v>
      </c>
      <c r="F13" s="2">
        <v>46088</v>
      </c>
      <c r="H13" s="5" t="s">
        <v>139</v>
      </c>
      <c r="I13" s="1"/>
    </row>
    <row r="14" spans="1:9" x14ac:dyDescent="0.25">
      <c r="A14" s="1" t="s">
        <v>121</v>
      </c>
      <c r="B14" s="1">
        <v>10</v>
      </c>
      <c r="C14" s="1">
        <v>1800</v>
      </c>
      <c r="D14" s="1" t="s">
        <v>4</v>
      </c>
      <c r="E14" s="1" t="s">
        <v>46</v>
      </c>
      <c r="F14" s="2">
        <v>46083</v>
      </c>
      <c r="H14" s="6" t="s">
        <v>107</v>
      </c>
      <c r="I14" s="1">
        <v>300</v>
      </c>
    </row>
    <row r="15" spans="1:9" x14ac:dyDescent="0.25">
      <c r="A15" s="1" t="s">
        <v>123</v>
      </c>
      <c r="B15" s="1">
        <v>60</v>
      </c>
      <c r="C15" s="1">
        <v>950</v>
      </c>
      <c r="D15" s="1" t="s">
        <v>5</v>
      </c>
      <c r="E15" s="1" t="s">
        <v>55</v>
      </c>
      <c r="F15" s="2">
        <v>46084</v>
      </c>
      <c r="H15" s="6" t="s">
        <v>101</v>
      </c>
      <c r="I15" s="1">
        <v>1100</v>
      </c>
    </row>
    <row r="16" spans="1:9" x14ac:dyDescent="0.25">
      <c r="A16" s="1" t="s">
        <v>127</v>
      </c>
      <c r="B16" s="1">
        <v>10</v>
      </c>
      <c r="C16" s="1">
        <v>1100</v>
      </c>
      <c r="D16" s="1" t="s">
        <v>5</v>
      </c>
      <c r="E16" s="1" t="s">
        <v>56</v>
      </c>
      <c r="F16" s="2">
        <v>46085</v>
      </c>
      <c r="H16" s="6" t="s">
        <v>103</v>
      </c>
      <c r="I16" s="1">
        <v>800</v>
      </c>
    </row>
    <row r="17" spans="1:9" x14ac:dyDescent="0.25">
      <c r="A17" s="1" t="s">
        <v>124</v>
      </c>
      <c r="B17" s="1">
        <v>100</v>
      </c>
      <c r="C17" s="1">
        <v>700</v>
      </c>
      <c r="D17" s="1" t="s">
        <v>6</v>
      </c>
      <c r="E17" s="1" t="s">
        <v>57</v>
      </c>
      <c r="F17" s="2">
        <v>46089</v>
      </c>
      <c r="H17" s="6" t="s">
        <v>89</v>
      </c>
      <c r="I17" s="1">
        <v>2100</v>
      </c>
    </row>
    <row r="18" spans="1:9" x14ac:dyDescent="0.25">
      <c r="A18" s="1" t="s">
        <v>120</v>
      </c>
      <c r="B18" s="1">
        <v>10</v>
      </c>
      <c r="C18" s="1">
        <v>2500</v>
      </c>
      <c r="D18" s="1" t="s">
        <v>4</v>
      </c>
      <c r="E18" s="1" t="s">
        <v>46</v>
      </c>
      <c r="F18" s="2">
        <v>46082</v>
      </c>
      <c r="H18" s="6" t="s">
        <v>97</v>
      </c>
      <c r="I18" s="1">
        <v>2000</v>
      </c>
    </row>
    <row r="19" spans="1:9" x14ac:dyDescent="0.25">
      <c r="A19" s="1" t="s">
        <v>36</v>
      </c>
      <c r="B19" s="1">
        <v>10</v>
      </c>
      <c r="C19" s="1">
        <v>450</v>
      </c>
      <c r="D19" s="1" t="s">
        <v>5</v>
      </c>
      <c r="E19" s="1" t="s">
        <v>58</v>
      </c>
      <c r="F19" s="2">
        <v>46085</v>
      </c>
      <c r="H19" s="6" t="s">
        <v>99</v>
      </c>
      <c r="I19" s="1">
        <v>500</v>
      </c>
    </row>
    <row r="20" spans="1:9" x14ac:dyDescent="0.25">
      <c r="A20" s="1" t="s">
        <v>128</v>
      </c>
      <c r="B20" s="1">
        <v>60</v>
      </c>
      <c r="C20" s="1">
        <v>1300</v>
      </c>
      <c r="D20" s="1" t="s">
        <v>5</v>
      </c>
      <c r="E20" s="1" t="s">
        <v>46</v>
      </c>
      <c r="F20" s="2">
        <v>46086</v>
      </c>
      <c r="H20" s="6" t="s">
        <v>36</v>
      </c>
      <c r="I20" s="1">
        <v>450</v>
      </c>
    </row>
    <row r="21" spans="1:9" x14ac:dyDescent="0.25">
      <c r="A21" s="1" t="s">
        <v>122</v>
      </c>
      <c r="B21" s="1">
        <v>500</v>
      </c>
      <c r="C21" s="1">
        <v>200</v>
      </c>
      <c r="D21" s="1" t="s">
        <v>4</v>
      </c>
      <c r="E21" s="1" t="s">
        <v>46</v>
      </c>
      <c r="F21" s="2">
        <v>46083</v>
      </c>
      <c r="H21" s="6" t="s">
        <v>113</v>
      </c>
      <c r="I21" s="1">
        <v>2950</v>
      </c>
    </row>
    <row r="22" spans="1:9" x14ac:dyDescent="0.25">
      <c r="A22" s="1" t="s">
        <v>121</v>
      </c>
      <c r="B22" s="1">
        <v>10</v>
      </c>
      <c r="C22" s="1">
        <v>1400</v>
      </c>
      <c r="D22" s="1" t="s">
        <v>6</v>
      </c>
      <c r="E22" s="1" t="s">
        <v>59</v>
      </c>
      <c r="F22" s="2">
        <v>46091</v>
      </c>
      <c r="H22" s="6" t="s">
        <v>115</v>
      </c>
      <c r="I22" s="1">
        <v>1300</v>
      </c>
    </row>
    <row r="23" spans="1:9" x14ac:dyDescent="0.25">
      <c r="A23" s="1" t="s">
        <v>129</v>
      </c>
      <c r="B23" s="1">
        <v>10</v>
      </c>
      <c r="C23" s="1">
        <v>800</v>
      </c>
      <c r="D23" s="1" t="s">
        <v>5</v>
      </c>
      <c r="E23" s="1" t="s">
        <v>60</v>
      </c>
      <c r="F23" s="2">
        <v>46087</v>
      </c>
      <c r="H23" s="6" t="s">
        <v>109</v>
      </c>
      <c r="I23" s="1">
        <v>2150</v>
      </c>
    </row>
    <row r="24" spans="1:9" x14ac:dyDescent="0.25">
      <c r="A24" s="1" t="s">
        <v>123</v>
      </c>
      <c r="B24" s="1">
        <v>60</v>
      </c>
      <c r="C24" s="1">
        <v>1700</v>
      </c>
      <c r="D24" s="1" t="s">
        <v>4</v>
      </c>
      <c r="E24" s="1" t="s">
        <v>46</v>
      </c>
      <c r="F24" s="2">
        <v>46083</v>
      </c>
      <c r="H24" s="5" t="s">
        <v>141</v>
      </c>
      <c r="I24" s="1"/>
    </row>
    <row r="25" spans="1:9" x14ac:dyDescent="0.25">
      <c r="A25" s="1" t="s">
        <v>124</v>
      </c>
      <c r="B25" s="1">
        <v>500</v>
      </c>
      <c r="C25" s="1">
        <v>300</v>
      </c>
      <c r="D25" s="1" t="s">
        <v>5</v>
      </c>
      <c r="E25" s="1" t="s">
        <v>46</v>
      </c>
      <c r="F25" s="2">
        <v>46086</v>
      </c>
      <c r="H25" s="6" t="s">
        <v>105</v>
      </c>
      <c r="I25" s="1">
        <v>2200</v>
      </c>
    </row>
    <row r="26" spans="1:9" x14ac:dyDescent="0.25">
      <c r="A26" s="1" t="s">
        <v>38</v>
      </c>
      <c r="B26" s="1">
        <v>10</v>
      </c>
      <c r="C26" s="1">
        <v>100</v>
      </c>
      <c r="D26" s="1" t="s">
        <v>4</v>
      </c>
      <c r="E26" s="1" t="s">
        <v>48</v>
      </c>
      <c r="F26" s="2">
        <v>46082</v>
      </c>
      <c r="H26" s="6" t="s">
        <v>107</v>
      </c>
      <c r="I26" s="1">
        <v>1500</v>
      </c>
    </row>
    <row r="27" spans="1:9" x14ac:dyDescent="0.25">
      <c r="A27" s="1" t="s">
        <v>120</v>
      </c>
      <c r="B27" s="1">
        <v>10</v>
      </c>
      <c r="C27" s="1">
        <v>1100</v>
      </c>
      <c r="D27" s="1" t="s">
        <v>6</v>
      </c>
      <c r="E27" s="1" t="s">
        <v>61</v>
      </c>
      <c r="F27" s="2">
        <v>46093</v>
      </c>
      <c r="H27" s="6" t="s">
        <v>89</v>
      </c>
      <c r="I27" s="1">
        <v>4000</v>
      </c>
    </row>
    <row r="28" spans="1:9" x14ac:dyDescent="0.25">
      <c r="A28" s="1" t="s">
        <v>121</v>
      </c>
      <c r="B28" s="1">
        <v>10</v>
      </c>
      <c r="C28" s="1">
        <v>2200</v>
      </c>
      <c r="D28" s="1" t="s">
        <v>4</v>
      </c>
      <c r="E28" s="1" t="s">
        <v>46</v>
      </c>
      <c r="F28" s="2">
        <v>46083</v>
      </c>
      <c r="H28" s="6" t="s">
        <v>97</v>
      </c>
      <c r="I28" s="1">
        <v>4000</v>
      </c>
    </row>
    <row r="29" spans="1:9" x14ac:dyDescent="0.25">
      <c r="A29" s="1" t="s">
        <v>126</v>
      </c>
      <c r="B29" s="1">
        <v>60</v>
      </c>
      <c r="C29" s="1">
        <v>850</v>
      </c>
      <c r="D29" s="1" t="s">
        <v>5</v>
      </c>
      <c r="E29" s="1" t="s">
        <v>62</v>
      </c>
      <c r="F29" s="2">
        <v>46087</v>
      </c>
      <c r="H29" s="6" t="s">
        <v>37</v>
      </c>
      <c r="I29" s="1">
        <v>150</v>
      </c>
    </row>
    <row r="30" spans="1:9" x14ac:dyDescent="0.25">
      <c r="A30" s="1" t="s">
        <v>122</v>
      </c>
      <c r="B30" s="1">
        <v>100</v>
      </c>
      <c r="C30" s="1">
        <v>1200</v>
      </c>
      <c r="D30" s="1" t="s">
        <v>4</v>
      </c>
      <c r="E30" s="1" t="s">
        <v>46</v>
      </c>
      <c r="F30" s="2">
        <v>46084</v>
      </c>
      <c r="H30" s="6" t="s">
        <v>38</v>
      </c>
      <c r="I30" s="1">
        <v>100</v>
      </c>
    </row>
    <row r="31" spans="1:9" x14ac:dyDescent="0.25">
      <c r="A31" s="1" t="s">
        <v>125</v>
      </c>
      <c r="B31" s="1">
        <v>10</v>
      </c>
      <c r="C31" s="1">
        <v>500</v>
      </c>
      <c r="D31" s="1" t="s">
        <v>5</v>
      </c>
      <c r="E31" s="1" t="s">
        <v>46</v>
      </c>
      <c r="F31" s="2">
        <v>46088</v>
      </c>
      <c r="H31" s="6" t="s">
        <v>109</v>
      </c>
      <c r="I31" s="1">
        <v>1700</v>
      </c>
    </row>
    <row r="32" spans="1:9" x14ac:dyDescent="0.25">
      <c r="H32" s="5" t="s">
        <v>138</v>
      </c>
      <c r="I32" s="1">
        <v>31800</v>
      </c>
    </row>
  </sheetData>
  <phoneticPr fontId="2" type="noConversion"/>
  <conditionalFormatting sqref="D2:D31">
    <cfRule type="containsText" dxfId="24" priority="1" operator="containsText" text="Niski">
      <formula>NOT(ISERROR(SEARCH("Niski",D2)))</formula>
    </cfRule>
    <cfRule type="containsText" dxfId="23" priority="2" operator="containsText" text="Średni">
      <formula>NOT(ISERROR(SEARCH("Średni",D2)))</formula>
    </cfRule>
    <cfRule type="containsText" dxfId="22" priority="3" operator="containsText" text=" Wysoki ">
      <formula>NOT(ISERROR(SEARCH(" Wysoki ",D2)))</formula>
    </cfRule>
  </conditionalFormatting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62BD-B88E-4F22-A527-E808564E0FFB}">
  <dimension ref="A1:E82"/>
  <sheetViews>
    <sheetView workbookViewId="0">
      <selection activeCell="D12" sqref="D12"/>
    </sheetView>
  </sheetViews>
  <sheetFormatPr defaultRowHeight="15" x14ac:dyDescent="0.25"/>
  <cols>
    <col min="1" max="1" width="16" bestFit="1" customWidth="1"/>
    <col min="2" max="2" width="10.28515625" bestFit="1" customWidth="1"/>
    <col min="3" max="3" width="16.42578125" bestFit="1" customWidth="1"/>
    <col min="4" max="4" width="7.5703125" bestFit="1" customWidth="1"/>
    <col min="5" max="5" width="12.28515625" bestFit="1" customWidth="1"/>
  </cols>
  <sheetData>
    <row r="1" spans="1:5" x14ac:dyDescent="0.25">
      <c r="A1" t="s">
        <v>2</v>
      </c>
      <c r="B1" t="s">
        <v>86</v>
      </c>
      <c r="C1" t="s">
        <v>87</v>
      </c>
      <c r="D1" t="s">
        <v>88</v>
      </c>
      <c r="E1" t="s">
        <v>79</v>
      </c>
    </row>
    <row r="2" spans="1:5" x14ac:dyDescent="0.25">
      <c r="A2" s="1" t="s">
        <v>89</v>
      </c>
      <c r="B2" s="1" t="s">
        <v>90</v>
      </c>
      <c r="C2" s="1" t="s">
        <v>91</v>
      </c>
      <c r="D2">
        <v>4</v>
      </c>
      <c r="E2" s="1" t="s">
        <v>92</v>
      </c>
    </row>
    <row r="3" spans="1:5" x14ac:dyDescent="0.25">
      <c r="A3" s="1" t="s">
        <v>89</v>
      </c>
      <c r="B3" s="1" t="s">
        <v>90</v>
      </c>
      <c r="C3" s="1" t="s">
        <v>93</v>
      </c>
      <c r="D3">
        <v>4</v>
      </c>
      <c r="E3" s="1" t="s">
        <v>92</v>
      </c>
    </row>
    <row r="4" spans="1:5" x14ac:dyDescent="0.25">
      <c r="A4" s="1" t="s">
        <v>89</v>
      </c>
      <c r="B4" s="1" t="s">
        <v>90</v>
      </c>
      <c r="C4" s="1" t="s">
        <v>80</v>
      </c>
      <c r="D4">
        <v>1</v>
      </c>
      <c r="E4" s="1" t="s">
        <v>92</v>
      </c>
    </row>
    <row r="5" spans="1:5" x14ac:dyDescent="0.25">
      <c r="A5" s="1" t="s">
        <v>89</v>
      </c>
      <c r="B5" s="1" t="s">
        <v>90</v>
      </c>
      <c r="C5" s="1" t="s">
        <v>94</v>
      </c>
      <c r="D5">
        <v>1</v>
      </c>
      <c r="E5" s="1" t="s">
        <v>92</v>
      </c>
    </row>
    <row r="6" spans="1:5" x14ac:dyDescent="0.25">
      <c r="A6" s="1" t="s">
        <v>89</v>
      </c>
      <c r="B6" s="1" t="s">
        <v>90</v>
      </c>
      <c r="C6" s="1" t="s">
        <v>81</v>
      </c>
      <c r="D6">
        <v>1</v>
      </c>
      <c r="E6" s="1" t="s">
        <v>82</v>
      </c>
    </row>
    <row r="7" spans="1:5" x14ac:dyDescent="0.25">
      <c r="A7" s="1" t="s">
        <v>89</v>
      </c>
      <c r="B7" s="1" t="s">
        <v>90</v>
      </c>
      <c r="C7" s="1" t="s">
        <v>95</v>
      </c>
      <c r="D7">
        <v>1</v>
      </c>
      <c r="E7" s="1" t="s">
        <v>82</v>
      </c>
    </row>
    <row r="8" spans="1:5" x14ac:dyDescent="0.25">
      <c r="A8" s="1" t="s">
        <v>89</v>
      </c>
      <c r="B8" s="1" t="s">
        <v>90</v>
      </c>
      <c r="C8" s="1" t="s">
        <v>96</v>
      </c>
      <c r="D8">
        <v>1</v>
      </c>
      <c r="E8" s="1" t="s">
        <v>82</v>
      </c>
    </row>
    <row r="9" spans="1:5" x14ac:dyDescent="0.25">
      <c r="A9" s="1" t="s">
        <v>97</v>
      </c>
      <c r="B9" s="1" t="s">
        <v>90</v>
      </c>
      <c r="C9" s="1" t="s">
        <v>91</v>
      </c>
      <c r="D9">
        <v>4</v>
      </c>
      <c r="E9" s="1" t="s">
        <v>92</v>
      </c>
    </row>
    <row r="10" spans="1:5" x14ac:dyDescent="0.25">
      <c r="A10" s="1" t="s">
        <v>97</v>
      </c>
      <c r="B10" s="1" t="s">
        <v>90</v>
      </c>
      <c r="C10" s="1" t="s">
        <v>93</v>
      </c>
      <c r="D10">
        <v>4</v>
      </c>
      <c r="E10" s="1" t="s">
        <v>92</v>
      </c>
    </row>
    <row r="11" spans="1:5" x14ac:dyDescent="0.25">
      <c r="A11" s="1" t="s">
        <v>97</v>
      </c>
      <c r="B11" s="1" t="s">
        <v>90</v>
      </c>
      <c r="C11" s="1" t="s">
        <v>80</v>
      </c>
      <c r="D11">
        <v>1</v>
      </c>
      <c r="E11" s="1" t="s">
        <v>92</v>
      </c>
    </row>
    <row r="12" spans="1:5" x14ac:dyDescent="0.25">
      <c r="A12" s="1" t="s">
        <v>97</v>
      </c>
      <c r="B12" s="1" t="s">
        <v>90</v>
      </c>
      <c r="C12" s="1" t="s">
        <v>98</v>
      </c>
      <c r="D12">
        <v>1</v>
      </c>
      <c r="E12" s="1" t="s">
        <v>92</v>
      </c>
    </row>
    <row r="13" spans="1:5" x14ac:dyDescent="0.25">
      <c r="A13" s="1" t="s">
        <v>97</v>
      </c>
      <c r="B13" s="1" t="s">
        <v>90</v>
      </c>
      <c r="C13" s="1" t="s">
        <v>81</v>
      </c>
      <c r="D13">
        <v>1</v>
      </c>
      <c r="E13" s="1" t="s">
        <v>82</v>
      </c>
    </row>
    <row r="14" spans="1:5" x14ac:dyDescent="0.25">
      <c r="A14" s="1" t="s">
        <v>97</v>
      </c>
      <c r="B14" s="1" t="s">
        <v>90</v>
      </c>
      <c r="C14" s="1" t="s">
        <v>95</v>
      </c>
      <c r="D14">
        <v>1</v>
      </c>
      <c r="E14" s="1" t="s">
        <v>82</v>
      </c>
    </row>
    <row r="15" spans="1:5" x14ac:dyDescent="0.25">
      <c r="A15" s="1" t="s">
        <v>97</v>
      </c>
      <c r="B15" s="1" t="s">
        <v>90</v>
      </c>
      <c r="C15" s="1" t="s">
        <v>96</v>
      </c>
      <c r="D15">
        <v>1</v>
      </c>
      <c r="E15" s="1" t="s">
        <v>82</v>
      </c>
    </row>
    <row r="16" spans="1:5" x14ac:dyDescent="0.25">
      <c r="A16" s="1" t="s">
        <v>99</v>
      </c>
      <c r="B16" s="1" t="s">
        <v>90</v>
      </c>
      <c r="C16" s="1" t="s">
        <v>91</v>
      </c>
      <c r="D16">
        <v>4</v>
      </c>
      <c r="E16" s="1" t="s">
        <v>92</v>
      </c>
    </row>
    <row r="17" spans="1:5" x14ac:dyDescent="0.25">
      <c r="A17" s="1" t="s">
        <v>99</v>
      </c>
      <c r="B17" s="1" t="s">
        <v>90</v>
      </c>
      <c r="C17" s="1" t="s">
        <v>93</v>
      </c>
      <c r="D17">
        <v>4</v>
      </c>
      <c r="E17" s="1" t="s">
        <v>92</v>
      </c>
    </row>
    <row r="18" spans="1:5" x14ac:dyDescent="0.25">
      <c r="A18" s="1" t="s">
        <v>99</v>
      </c>
      <c r="B18" s="1" t="s">
        <v>90</v>
      </c>
      <c r="C18" s="1" t="s">
        <v>80</v>
      </c>
      <c r="D18">
        <v>1</v>
      </c>
      <c r="E18" s="1" t="s">
        <v>92</v>
      </c>
    </row>
    <row r="19" spans="1:5" x14ac:dyDescent="0.25">
      <c r="A19" s="1" t="s">
        <v>99</v>
      </c>
      <c r="B19" s="1" t="s">
        <v>90</v>
      </c>
      <c r="C19" s="1" t="s">
        <v>100</v>
      </c>
      <c r="D19">
        <v>1</v>
      </c>
      <c r="E19" s="1" t="s">
        <v>92</v>
      </c>
    </row>
    <row r="20" spans="1:5" x14ac:dyDescent="0.25">
      <c r="A20" s="1" t="s">
        <v>99</v>
      </c>
      <c r="B20" s="1" t="s">
        <v>90</v>
      </c>
      <c r="C20" s="1" t="s">
        <v>81</v>
      </c>
      <c r="D20">
        <v>1</v>
      </c>
      <c r="E20" s="1" t="s">
        <v>82</v>
      </c>
    </row>
    <row r="21" spans="1:5" x14ac:dyDescent="0.25">
      <c r="A21" s="1" t="s">
        <v>99</v>
      </c>
      <c r="B21" s="1" t="s">
        <v>90</v>
      </c>
      <c r="C21" s="1" t="s">
        <v>95</v>
      </c>
      <c r="D21">
        <v>1</v>
      </c>
      <c r="E21" s="1" t="s">
        <v>82</v>
      </c>
    </row>
    <row r="22" spans="1:5" x14ac:dyDescent="0.25">
      <c r="A22" s="1" t="s">
        <v>99</v>
      </c>
      <c r="B22" s="1" t="s">
        <v>90</v>
      </c>
      <c r="C22" s="1" t="s">
        <v>96</v>
      </c>
      <c r="D22">
        <v>1</v>
      </c>
      <c r="E22" s="1" t="s">
        <v>82</v>
      </c>
    </row>
    <row r="23" spans="1:5" x14ac:dyDescent="0.25">
      <c r="A23" s="1" t="s">
        <v>101</v>
      </c>
      <c r="B23" s="1" t="s">
        <v>90</v>
      </c>
      <c r="C23" s="1" t="s">
        <v>91</v>
      </c>
      <c r="D23">
        <v>4</v>
      </c>
      <c r="E23" s="1" t="s">
        <v>92</v>
      </c>
    </row>
    <row r="24" spans="1:5" x14ac:dyDescent="0.25">
      <c r="A24" s="1" t="s">
        <v>101</v>
      </c>
      <c r="B24" s="1" t="s">
        <v>90</v>
      </c>
      <c r="C24" s="1" t="s">
        <v>93</v>
      </c>
      <c r="D24">
        <v>4</v>
      </c>
      <c r="E24" s="1" t="s">
        <v>92</v>
      </c>
    </row>
    <row r="25" spans="1:5" x14ac:dyDescent="0.25">
      <c r="A25" s="1" t="s">
        <v>101</v>
      </c>
      <c r="B25" s="1" t="s">
        <v>90</v>
      </c>
      <c r="C25" s="1" t="s">
        <v>80</v>
      </c>
      <c r="D25">
        <v>1</v>
      </c>
      <c r="E25" s="1" t="s">
        <v>92</v>
      </c>
    </row>
    <row r="26" spans="1:5" x14ac:dyDescent="0.25">
      <c r="A26" s="1" t="s">
        <v>101</v>
      </c>
      <c r="B26" s="1" t="s">
        <v>90</v>
      </c>
      <c r="C26" s="1" t="s">
        <v>102</v>
      </c>
      <c r="D26">
        <v>1</v>
      </c>
      <c r="E26" s="1" t="s">
        <v>92</v>
      </c>
    </row>
    <row r="27" spans="1:5" x14ac:dyDescent="0.25">
      <c r="A27" s="1" t="s">
        <v>101</v>
      </c>
      <c r="B27" s="1" t="s">
        <v>90</v>
      </c>
      <c r="C27" s="1" t="s">
        <v>81</v>
      </c>
      <c r="D27">
        <v>1</v>
      </c>
      <c r="E27" s="1" t="s">
        <v>82</v>
      </c>
    </row>
    <row r="28" spans="1:5" x14ac:dyDescent="0.25">
      <c r="A28" s="1" t="s">
        <v>101</v>
      </c>
      <c r="B28" s="1" t="s">
        <v>90</v>
      </c>
      <c r="C28" s="1" t="s">
        <v>95</v>
      </c>
      <c r="D28">
        <v>1</v>
      </c>
      <c r="E28" s="1" t="s">
        <v>82</v>
      </c>
    </row>
    <row r="29" spans="1:5" x14ac:dyDescent="0.25">
      <c r="A29" s="1" t="s">
        <v>101</v>
      </c>
      <c r="B29" s="1" t="s">
        <v>90</v>
      </c>
      <c r="C29" s="1" t="s">
        <v>96</v>
      </c>
      <c r="D29">
        <v>1</v>
      </c>
      <c r="E29" s="1" t="s">
        <v>82</v>
      </c>
    </row>
    <row r="30" spans="1:5" x14ac:dyDescent="0.25">
      <c r="A30" s="1" t="s">
        <v>103</v>
      </c>
      <c r="B30" s="1" t="s">
        <v>90</v>
      </c>
      <c r="C30" s="1" t="s">
        <v>91</v>
      </c>
      <c r="D30">
        <v>4</v>
      </c>
      <c r="E30" s="1" t="s">
        <v>92</v>
      </c>
    </row>
    <row r="31" spans="1:5" x14ac:dyDescent="0.25">
      <c r="A31" s="1" t="s">
        <v>103</v>
      </c>
      <c r="B31" s="1" t="s">
        <v>90</v>
      </c>
      <c r="C31" s="1" t="s">
        <v>93</v>
      </c>
      <c r="D31">
        <v>4</v>
      </c>
      <c r="E31" s="1" t="s">
        <v>92</v>
      </c>
    </row>
    <row r="32" spans="1:5" x14ac:dyDescent="0.25">
      <c r="A32" s="1" t="s">
        <v>103</v>
      </c>
      <c r="B32" s="1" t="s">
        <v>90</v>
      </c>
      <c r="C32" s="1" t="s">
        <v>80</v>
      </c>
      <c r="D32">
        <v>1</v>
      </c>
      <c r="E32" s="1" t="s">
        <v>92</v>
      </c>
    </row>
    <row r="33" spans="1:5" x14ac:dyDescent="0.25">
      <c r="A33" s="1" t="s">
        <v>103</v>
      </c>
      <c r="B33" s="1" t="s">
        <v>90</v>
      </c>
      <c r="C33" s="1" t="s">
        <v>104</v>
      </c>
      <c r="D33">
        <v>1</v>
      </c>
      <c r="E33" s="1" t="s">
        <v>92</v>
      </c>
    </row>
    <row r="34" spans="1:5" x14ac:dyDescent="0.25">
      <c r="A34" s="1" t="s">
        <v>103</v>
      </c>
      <c r="B34" s="1" t="s">
        <v>90</v>
      </c>
      <c r="C34" s="1" t="s">
        <v>81</v>
      </c>
      <c r="D34">
        <v>1</v>
      </c>
      <c r="E34" s="1" t="s">
        <v>82</v>
      </c>
    </row>
    <row r="35" spans="1:5" x14ac:dyDescent="0.25">
      <c r="A35" s="1" t="s">
        <v>103</v>
      </c>
      <c r="B35" s="1" t="s">
        <v>90</v>
      </c>
      <c r="C35" s="1" t="s">
        <v>95</v>
      </c>
      <c r="D35">
        <v>1</v>
      </c>
      <c r="E35" s="1" t="s">
        <v>82</v>
      </c>
    </row>
    <row r="36" spans="1:5" x14ac:dyDescent="0.25">
      <c r="A36" s="1" t="s">
        <v>103</v>
      </c>
      <c r="B36" s="1" t="s">
        <v>90</v>
      </c>
      <c r="C36" s="1" t="s">
        <v>96</v>
      </c>
      <c r="D36">
        <v>1</v>
      </c>
      <c r="E36" s="1" t="s">
        <v>82</v>
      </c>
    </row>
    <row r="37" spans="1:5" x14ac:dyDescent="0.25">
      <c r="A37" s="1" t="s">
        <v>105</v>
      </c>
      <c r="B37" s="1" t="s">
        <v>106</v>
      </c>
      <c r="C37" s="1" t="s">
        <v>91</v>
      </c>
      <c r="D37">
        <v>50</v>
      </c>
      <c r="E37" s="1" t="s">
        <v>92</v>
      </c>
    </row>
    <row r="38" spans="1:5" x14ac:dyDescent="0.25">
      <c r="A38" s="1" t="s">
        <v>105</v>
      </c>
      <c r="B38" s="1" t="s">
        <v>106</v>
      </c>
      <c r="C38" s="1" t="s">
        <v>93</v>
      </c>
      <c r="D38">
        <v>50</v>
      </c>
      <c r="E38" s="1" t="s">
        <v>92</v>
      </c>
    </row>
    <row r="39" spans="1:5" x14ac:dyDescent="0.25">
      <c r="A39" s="1" t="s">
        <v>105</v>
      </c>
      <c r="B39" s="1" t="s">
        <v>106</v>
      </c>
      <c r="C39" s="1" t="s">
        <v>84</v>
      </c>
      <c r="D39">
        <v>1</v>
      </c>
      <c r="E39" s="1" t="s">
        <v>82</v>
      </c>
    </row>
    <row r="40" spans="1:5" x14ac:dyDescent="0.25">
      <c r="A40" s="1" t="s">
        <v>105</v>
      </c>
      <c r="B40" s="1" t="s">
        <v>106</v>
      </c>
      <c r="C40" s="1" t="s">
        <v>95</v>
      </c>
      <c r="D40">
        <v>1</v>
      </c>
      <c r="E40" s="1" t="s">
        <v>82</v>
      </c>
    </row>
    <row r="41" spans="1:5" x14ac:dyDescent="0.25">
      <c r="A41" s="1" t="s">
        <v>105</v>
      </c>
      <c r="B41" s="1" t="s">
        <v>106</v>
      </c>
      <c r="C41" s="1" t="s">
        <v>96</v>
      </c>
      <c r="D41">
        <v>1</v>
      </c>
      <c r="E41" s="1" t="s">
        <v>82</v>
      </c>
    </row>
    <row r="42" spans="1:5" x14ac:dyDescent="0.25">
      <c r="A42" s="1" t="s">
        <v>107</v>
      </c>
      <c r="B42" s="1" t="s">
        <v>106</v>
      </c>
      <c r="C42" s="1" t="s">
        <v>91</v>
      </c>
      <c r="D42">
        <v>70</v>
      </c>
      <c r="E42" s="1" t="s">
        <v>92</v>
      </c>
    </row>
    <row r="43" spans="1:5" x14ac:dyDescent="0.25">
      <c r="A43" s="1" t="s">
        <v>107</v>
      </c>
      <c r="B43" s="1" t="s">
        <v>106</v>
      </c>
      <c r="C43" s="1" t="s">
        <v>93</v>
      </c>
      <c r="D43">
        <v>30</v>
      </c>
      <c r="E43" s="1" t="s">
        <v>92</v>
      </c>
    </row>
    <row r="44" spans="1:5" x14ac:dyDescent="0.25">
      <c r="A44" s="1" t="s">
        <v>107</v>
      </c>
      <c r="B44" s="1" t="s">
        <v>106</v>
      </c>
      <c r="C44" s="1" t="s">
        <v>84</v>
      </c>
      <c r="D44">
        <v>1</v>
      </c>
      <c r="E44" s="1" t="s">
        <v>82</v>
      </c>
    </row>
    <row r="45" spans="1:5" x14ac:dyDescent="0.25">
      <c r="A45" s="1" t="s">
        <v>107</v>
      </c>
      <c r="B45" s="1" t="s">
        <v>106</v>
      </c>
      <c r="C45" s="1" t="s">
        <v>95</v>
      </c>
      <c r="D45">
        <v>1</v>
      </c>
      <c r="E45" s="1" t="s">
        <v>82</v>
      </c>
    </row>
    <row r="46" spans="1:5" x14ac:dyDescent="0.25">
      <c r="A46" s="1" t="s">
        <v>107</v>
      </c>
      <c r="B46" s="1" t="s">
        <v>106</v>
      </c>
      <c r="C46" s="1" t="s">
        <v>96</v>
      </c>
      <c r="D46">
        <v>1</v>
      </c>
      <c r="E46" s="1" t="s">
        <v>82</v>
      </c>
    </row>
    <row r="47" spans="1:5" x14ac:dyDescent="0.25">
      <c r="A47" s="1" t="s">
        <v>36</v>
      </c>
      <c r="B47" s="1" t="s">
        <v>90</v>
      </c>
      <c r="C47" s="1" t="s">
        <v>91</v>
      </c>
      <c r="D47">
        <v>4.5</v>
      </c>
      <c r="E47" s="1" t="s">
        <v>92</v>
      </c>
    </row>
    <row r="48" spans="1:5" x14ac:dyDescent="0.25">
      <c r="A48" s="1" t="s">
        <v>36</v>
      </c>
      <c r="B48" s="1" t="s">
        <v>90</v>
      </c>
      <c r="C48" s="1" t="s">
        <v>93</v>
      </c>
      <c r="D48">
        <v>4.5</v>
      </c>
      <c r="E48" s="1" t="s">
        <v>92</v>
      </c>
    </row>
    <row r="49" spans="1:5" x14ac:dyDescent="0.25">
      <c r="A49" s="1" t="s">
        <v>36</v>
      </c>
      <c r="B49" s="1" t="s">
        <v>90</v>
      </c>
      <c r="C49" s="1" t="s">
        <v>108</v>
      </c>
      <c r="D49">
        <v>0.5</v>
      </c>
      <c r="E49" s="1" t="s">
        <v>92</v>
      </c>
    </row>
    <row r="50" spans="1:5" x14ac:dyDescent="0.25">
      <c r="A50" s="1" t="s">
        <v>36</v>
      </c>
      <c r="B50" s="1" t="s">
        <v>90</v>
      </c>
      <c r="C50" s="1" t="s">
        <v>81</v>
      </c>
      <c r="D50">
        <v>1</v>
      </c>
      <c r="E50" s="1" t="s">
        <v>82</v>
      </c>
    </row>
    <row r="51" spans="1:5" x14ac:dyDescent="0.25">
      <c r="A51" s="1" t="s">
        <v>36</v>
      </c>
      <c r="B51" s="1" t="s">
        <v>90</v>
      </c>
      <c r="C51" s="1" t="s">
        <v>95</v>
      </c>
      <c r="D51">
        <v>1</v>
      </c>
      <c r="E51" s="1" t="s">
        <v>82</v>
      </c>
    </row>
    <row r="52" spans="1:5" x14ac:dyDescent="0.25">
      <c r="A52" s="1" t="s">
        <v>36</v>
      </c>
      <c r="B52" s="1" t="s">
        <v>90</v>
      </c>
      <c r="C52" s="1" t="s">
        <v>96</v>
      </c>
      <c r="D52">
        <v>1</v>
      </c>
      <c r="E52" s="1" t="s">
        <v>82</v>
      </c>
    </row>
    <row r="53" spans="1:5" x14ac:dyDescent="0.25">
      <c r="A53" s="1" t="s">
        <v>37</v>
      </c>
      <c r="B53" s="1" t="s">
        <v>90</v>
      </c>
      <c r="C53" s="1" t="s">
        <v>91</v>
      </c>
      <c r="D53">
        <v>4</v>
      </c>
      <c r="E53" s="1" t="s">
        <v>92</v>
      </c>
    </row>
    <row r="54" spans="1:5" x14ac:dyDescent="0.25">
      <c r="A54" s="1" t="s">
        <v>37</v>
      </c>
      <c r="B54" s="1" t="s">
        <v>90</v>
      </c>
      <c r="C54" s="1" t="s">
        <v>93</v>
      </c>
      <c r="D54">
        <v>4</v>
      </c>
      <c r="E54" s="1" t="s">
        <v>92</v>
      </c>
    </row>
    <row r="55" spans="1:5" x14ac:dyDescent="0.25">
      <c r="A55" s="1" t="s">
        <v>37</v>
      </c>
      <c r="B55" s="1" t="s">
        <v>90</v>
      </c>
      <c r="C55" s="1" t="s">
        <v>108</v>
      </c>
      <c r="D55">
        <v>1</v>
      </c>
      <c r="E55" s="1" t="s">
        <v>92</v>
      </c>
    </row>
    <row r="56" spans="1:5" x14ac:dyDescent="0.25">
      <c r="A56" s="1" t="s">
        <v>37</v>
      </c>
      <c r="B56" s="1" t="s">
        <v>90</v>
      </c>
      <c r="C56" s="1" t="s">
        <v>81</v>
      </c>
      <c r="D56">
        <v>1</v>
      </c>
      <c r="E56" s="1" t="s">
        <v>82</v>
      </c>
    </row>
    <row r="57" spans="1:5" x14ac:dyDescent="0.25">
      <c r="A57" s="1" t="s">
        <v>37</v>
      </c>
      <c r="B57" s="1" t="s">
        <v>90</v>
      </c>
      <c r="C57" s="1" t="s">
        <v>95</v>
      </c>
      <c r="D57">
        <v>1</v>
      </c>
      <c r="E57" s="1" t="s">
        <v>82</v>
      </c>
    </row>
    <row r="58" spans="1:5" x14ac:dyDescent="0.25">
      <c r="A58" s="1" t="s">
        <v>37</v>
      </c>
      <c r="B58" s="1" t="s">
        <v>90</v>
      </c>
      <c r="C58" s="1" t="s">
        <v>96</v>
      </c>
      <c r="D58">
        <v>1</v>
      </c>
      <c r="E58" s="1" t="s">
        <v>82</v>
      </c>
    </row>
    <row r="59" spans="1:5" x14ac:dyDescent="0.25">
      <c r="A59" s="1" t="s">
        <v>38</v>
      </c>
      <c r="B59" s="1" t="s">
        <v>90</v>
      </c>
      <c r="C59" s="1" t="s">
        <v>91</v>
      </c>
      <c r="D59">
        <v>3.5</v>
      </c>
      <c r="E59" s="1" t="s">
        <v>92</v>
      </c>
    </row>
    <row r="60" spans="1:5" x14ac:dyDescent="0.25">
      <c r="A60" s="1" t="s">
        <v>38</v>
      </c>
      <c r="B60" s="1" t="s">
        <v>90</v>
      </c>
      <c r="C60" s="1" t="s">
        <v>93</v>
      </c>
      <c r="D60">
        <v>3.5</v>
      </c>
      <c r="E60" s="1" t="s">
        <v>92</v>
      </c>
    </row>
    <row r="61" spans="1:5" x14ac:dyDescent="0.25">
      <c r="A61" s="1" t="s">
        <v>38</v>
      </c>
      <c r="B61" s="1" t="s">
        <v>90</v>
      </c>
      <c r="C61" s="1" t="s">
        <v>108</v>
      </c>
      <c r="D61">
        <v>1.5</v>
      </c>
      <c r="E61" s="1" t="s">
        <v>92</v>
      </c>
    </row>
    <row r="62" spans="1:5" x14ac:dyDescent="0.25">
      <c r="A62" s="1" t="s">
        <v>38</v>
      </c>
      <c r="B62" s="1" t="s">
        <v>90</v>
      </c>
      <c r="C62" s="1" t="s">
        <v>81</v>
      </c>
      <c r="D62">
        <v>1</v>
      </c>
      <c r="E62" s="1" t="s">
        <v>82</v>
      </c>
    </row>
    <row r="63" spans="1:5" x14ac:dyDescent="0.25">
      <c r="A63" s="1" t="s">
        <v>38</v>
      </c>
      <c r="B63" s="1" t="s">
        <v>90</v>
      </c>
      <c r="C63" s="1" t="s">
        <v>95</v>
      </c>
      <c r="D63">
        <v>1</v>
      </c>
      <c r="E63" s="1" t="s">
        <v>82</v>
      </c>
    </row>
    <row r="64" spans="1:5" x14ac:dyDescent="0.25">
      <c r="A64" s="1" t="s">
        <v>38</v>
      </c>
      <c r="B64" s="1" t="s">
        <v>90</v>
      </c>
      <c r="C64" s="1" t="s">
        <v>96</v>
      </c>
      <c r="D64">
        <v>1</v>
      </c>
      <c r="E64" s="1" t="s">
        <v>82</v>
      </c>
    </row>
    <row r="65" spans="1:5" x14ac:dyDescent="0.25">
      <c r="A65" s="1" t="s">
        <v>109</v>
      </c>
      <c r="B65" s="1" t="s">
        <v>110</v>
      </c>
      <c r="C65" s="1" t="s">
        <v>91</v>
      </c>
      <c r="D65">
        <v>25.5</v>
      </c>
      <c r="E65" s="1" t="s">
        <v>92</v>
      </c>
    </row>
    <row r="66" spans="1:5" x14ac:dyDescent="0.25">
      <c r="A66" s="1" t="s">
        <v>109</v>
      </c>
      <c r="B66" s="1" t="s">
        <v>110</v>
      </c>
      <c r="C66" s="1" t="s">
        <v>93</v>
      </c>
      <c r="D66">
        <v>25.5</v>
      </c>
      <c r="E66" s="1" t="s">
        <v>92</v>
      </c>
    </row>
    <row r="67" spans="1:5" x14ac:dyDescent="0.25">
      <c r="A67" s="1" t="s">
        <v>109</v>
      </c>
      <c r="B67" s="1" t="s">
        <v>110</v>
      </c>
      <c r="C67" s="1" t="s">
        <v>111</v>
      </c>
      <c r="D67">
        <v>9</v>
      </c>
      <c r="E67" s="1" t="s">
        <v>92</v>
      </c>
    </row>
    <row r="68" spans="1:5" x14ac:dyDescent="0.25">
      <c r="A68" s="1" t="s">
        <v>109</v>
      </c>
      <c r="B68" s="1" t="s">
        <v>110</v>
      </c>
      <c r="C68" s="1" t="s">
        <v>83</v>
      </c>
      <c r="D68">
        <v>1</v>
      </c>
      <c r="E68" s="1" t="s">
        <v>82</v>
      </c>
    </row>
    <row r="69" spans="1:5" x14ac:dyDescent="0.25">
      <c r="A69" s="1" t="s">
        <v>109</v>
      </c>
      <c r="B69" s="1" t="s">
        <v>110</v>
      </c>
      <c r="C69" s="1" t="s">
        <v>112</v>
      </c>
      <c r="D69">
        <v>1</v>
      </c>
      <c r="E69" s="1" t="s">
        <v>82</v>
      </c>
    </row>
    <row r="70" spans="1:5" x14ac:dyDescent="0.25">
      <c r="A70" s="1" t="s">
        <v>109</v>
      </c>
      <c r="B70" s="1" t="s">
        <v>110</v>
      </c>
      <c r="C70" s="1" t="s">
        <v>96</v>
      </c>
      <c r="D70">
        <v>1</v>
      </c>
      <c r="E70" s="1" t="s">
        <v>82</v>
      </c>
    </row>
    <row r="71" spans="1:5" x14ac:dyDescent="0.25">
      <c r="A71" s="1" t="s">
        <v>113</v>
      </c>
      <c r="B71" s="1" t="s">
        <v>110</v>
      </c>
      <c r="C71" s="1" t="s">
        <v>91</v>
      </c>
      <c r="D71">
        <v>25.5</v>
      </c>
      <c r="E71" s="1" t="s">
        <v>92</v>
      </c>
    </row>
    <row r="72" spans="1:5" x14ac:dyDescent="0.25">
      <c r="A72" s="1" t="s">
        <v>113</v>
      </c>
      <c r="B72" s="1" t="s">
        <v>110</v>
      </c>
      <c r="C72" s="1" t="s">
        <v>93</v>
      </c>
      <c r="D72">
        <v>25.5</v>
      </c>
      <c r="E72" s="1" t="s">
        <v>92</v>
      </c>
    </row>
    <row r="73" spans="1:5" x14ac:dyDescent="0.25">
      <c r="A73" s="1" t="s">
        <v>113</v>
      </c>
      <c r="B73" s="1" t="s">
        <v>110</v>
      </c>
      <c r="C73" s="1" t="s">
        <v>114</v>
      </c>
      <c r="D73">
        <v>9</v>
      </c>
      <c r="E73" s="1" t="s">
        <v>92</v>
      </c>
    </row>
    <row r="74" spans="1:5" x14ac:dyDescent="0.25">
      <c r="A74" s="1" t="s">
        <v>113</v>
      </c>
      <c r="B74" s="1" t="s">
        <v>110</v>
      </c>
      <c r="C74" s="1" t="s">
        <v>83</v>
      </c>
      <c r="D74">
        <v>1</v>
      </c>
      <c r="E74" s="1" t="s">
        <v>82</v>
      </c>
    </row>
    <row r="75" spans="1:5" x14ac:dyDescent="0.25">
      <c r="A75" s="1" t="s">
        <v>113</v>
      </c>
      <c r="B75" s="1" t="s">
        <v>110</v>
      </c>
      <c r="C75" s="1" t="s">
        <v>112</v>
      </c>
      <c r="D75">
        <v>1</v>
      </c>
      <c r="E75" s="1" t="s">
        <v>82</v>
      </c>
    </row>
    <row r="76" spans="1:5" x14ac:dyDescent="0.25">
      <c r="A76" s="1" t="s">
        <v>113</v>
      </c>
      <c r="B76" s="1" t="s">
        <v>110</v>
      </c>
      <c r="C76" s="1" t="s">
        <v>96</v>
      </c>
      <c r="D76">
        <v>1</v>
      </c>
      <c r="E76" s="1" t="s">
        <v>82</v>
      </c>
    </row>
    <row r="77" spans="1:5" x14ac:dyDescent="0.25">
      <c r="A77" s="1" t="s">
        <v>115</v>
      </c>
      <c r="B77" s="1" t="s">
        <v>110</v>
      </c>
      <c r="C77" s="1" t="s">
        <v>91</v>
      </c>
      <c r="D77">
        <v>25.5</v>
      </c>
      <c r="E77" s="1" t="s">
        <v>92</v>
      </c>
    </row>
    <row r="78" spans="1:5" x14ac:dyDescent="0.25">
      <c r="A78" s="1" t="s">
        <v>115</v>
      </c>
      <c r="B78" s="1" t="s">
        <v>110</v>
      </c>
      <c r="C78" s="1" t="s">
        <v>93</v>
      </c>
      <c r="D78">
        <v>25.5</v>
      </c>
      <c r="E78" s="1" t="s">
        <v>92</v>
      </c>
    </row>
    <row r="79" spans="1:5" x14ac:dyDescent="0.25">
      <c r="A79" s="1" t="s">
        <v>115</v>
      </c>
      <c r="B79" s="1" t="s">
        <v>110</v>
      </c>
      <c r="C79" s="1" t="s">
        <v>94</v>
      </c>
      <c r="D79">
        <v>9</v>
      </c>
      <c r="E79" s="1" t="s">
        <v>92</v>
      </c>
    </row>
    <row r="80" spans="1:5" x14ac:dyDescent="0.25">
      <c r="A80" s="1" t="s">
        <v>115</v>
      </c>
      <c r="B80" s="1" t="s">
        <v>110</v>
      </c>
      <c r="C80" s="1" t="s">
        <v>83</v>
      </c>
      <c r="D80">
        <v>1</v>
      </c>
      <c r="E80" s="1" t="s">
        <v>82</v>
      </c>
    </row>
    <row r="81" spans="1:5" x14ac:dyDescent="0.25">
      <c r="A81" s="1" t="s">
        <v>115</v>
      </c>
      <c r="B81" s="1" t="s">
        <v>110</v>
      </c>
      <c r="C81" s="1" t="s">
        <v>112</v>
      </c>
      <c r="D81">
        <v>1</v>
      </c>
      <c r="E81" s="1" t="s">
        <v>82</v>
      </c>
    </row>
    <row r="82" spans="1:5" x14ac:dyDescent="0.25">
      <c r="A82" s="1" t="s">
        <v>115</v>
      </c>
      <c r="B82" s="1" t="s">
        <v>110</v>
      </c>
      <c r="C82" s="1" t="s">
        <v>96</v>
      </c>
      <c r="D82">
        <v>1</v>
      </c>
      <c r="E82" s="1" t="s">
        <v>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F640-9333-49D9-947F-6C55C1495F2E}">
  <dimension ref="A1:F26"/>
  <sheetViews>
    <sheetView tabSelected="1" workbookViewId="0">
      <selection activeCell="E13" sqref="A2:F26"/>
    </sheetView>
  </sheetViews>
  <sheetFormatPr defaultRowHeight="15" x14ac:dyDescent="0.25"/>
  <cols>
    <col min="1" max="1" width="16.42578125" bestFit="1" customWidth="1"/>
    <col min="2" max="2" width="19.5703125" bestFit="1" customWidth="1"/>
    <col min="3" max="3" width="12.28515625" bestFit="1" customWidth="1"/>
    <col min="4" max="4" width="27.42578125" bestFit="1" customWidth="1"/>
    <col min="5" max="5" width="17.42578125" bestFit="1" customWidth="1"/>
    <col min="6" max="6" width="20" bestFit="1" customWidth="1"/>
    <col min="7" max="7" width="12.28515625" bestFit="1" customWidth="1"/>
    <col min="8" max="8" width="12.7109375" bestFit="1" customWidth="1"/>
  </cols>
  <sheetData>
    <row r="1" spans="1:6" x14ac:dyDescent="0.25">
      <c r="A1" t="s">
        <v>7</v>
      </c>
      <c r="B1" t="s">
        <v>8</v>
      </c>
      <c r="C1" t="s">
        <v>79</v>
      </c>
      <c r="D1" t="s">
        <v>133</v>
      </c>
      <c r="E1" t="s">
        <v>136</v>
      </c>
      <c r="F1" t="s">
        <v>134</v>
      </c>
    </row>
    <row r="2" spans="1:6" x14ac:dyDescent="0.25">
      <c r="A2" s="1" t="s">
        <v>102</v>
      </c>
      <c r="B2" s="1">
        <v>12000</v>
      </c>
      <c r="C2" s="1" t="s">
        <v>92</v>
      </c>
      <c r="D2">
        <v>0.185</v>
      </c>
      <c r="E2">
        <v>10900</v>
      </c>
      <c r="F2">
        <v>0</v>
      </c>
    </row>
    <row r="3" spans="1:6" x14ac:dyDescent="0.25">
      <c r="A3" s="1" t="s">
        <v>104</v>
      </c>
      <c r="B3" s="1">
        <v>8000</v>
      </c>
      <c r="C3" s="1" t="s">
        <v>92</v>
      </c>
      <c r="D3">
        <v>0.19</v>
      </c>
      <c r="E3">
        <v>7200</v>
      </c>
      <c r="F3">
        <v>0</v>
      </c>
    </row>
    <row r="4" spans="1:6" x14ac:dyDescent="0.25">
      <c r="A4" s="1" t="s">
        <v>114</v>
      </c>
      <c r="B4" s="1">
        <v>18000</v>
      </c>
      <c r="C4" s="1" t="s">
        <v>92</v>
      </c>
      <c r="D4">
        <v>0.23</v>
      </c>
      <c r="E4">
        <v>-8550</v>
      </c>
      <c r="F4">
        <v>1966.5</v>
      </c>
    </row>
    <row r="5" spans="1:6" x14ac:dyDescent="0.25">
      <c r="A5" s="1" t="s">
        <v>94</v>
      </c>
      <c r="B5" s="1">
        <v>15000</v>
      </c>
      <c r="C5" s="1" t="s">
        <v>92</v>
      </c>
      <c r="D5">
        <v>0.18</v>
      </c>
      <c r="E5">
        <v>6900</v>
      </c>
      <c r="F5">
        <v>0</v>
      </c>
    </row>
    <row r="6" spans="1:6" x14ac:dyDescent="0.25">
      <c r="A6" s="1" t="s">
        <v>94</v>
      </c>
      <c r="B6" s="1">
        <v>15000</v>
      </c>
      <c r="C6" s="1" t="s">
        <v>92</v>
      </c>
      <c r="D6">
        <v>0.18</v>
      </c>
      <c r="E6">
        <v>-3900</v>
      </c>
      <c r="F6">
        <v>702</v>
      </c>
    </row>
    <row r="7" spans="1:6" x14ac:dyDescent="0.25">
      <c r="A7" s="1" t="s">
        <v>111</v>
      </c>
      <c r="B7" s="1">
        <v>25000</v>
      </c>
      <c r="C7" s="1" t="s">
        <v>92</v>
      </c>
      <c r="D7">
        <v>0.17</v>
      </c>
      <c r="E7">
        <v>-9650</v>
      </c>
      <c r="F7">
        <v>1640.5</v>
      </c>
    </row>
    <row r="8" spans="1:6" x14ac:dyDescent="0.25">
      <c r="A8" s="1" t="s">
        <v>98</v>
      </c>
      <c r="B8" s="1">
        <v>20000</v>
      </c>
      <c r="C8" s="1" t="s">
        <v>92</v>
      </c>
      <c r="D8">
        <v>0.19500000000000001</v>
      </c>
      <c r="E8">
        <v>11900</v>
      </c>
      <c r="F8">
        <v>0</v>
      </c>
    </row>
    <row r="9" spans="1:6" x14ac:dyDescent="0.25">
      <c r="A9" s="1" t="s">
        <v>98</v>
      </c>
      <c r="B9" s="1">
        <v>20000</v>
      </c>
      <c r="C9" s="1" t="s">
        <v>92</v>
      </c>
      <c r="D9">
        <v>0.19500000000000001</v>
      </c>
      <c r="E9">
        <v>12600</v>
      </c>
      <c r="F9">
        <v>0</v>
      </c>
    </row>
    <row r="10" spans="1:6" x14ac:dyDescent="0.25">
      <c r="A10" s="1" t="s">
        <v>100</v>
      </c>
      <c r="B10" s="1">
        <v>10000</v>
      </c>
      <c r="C10" s="1" t="s">
        <v>92</v>
      </c>
      <c r="D10">
        <v>0.21</v>
      </c>
      <c r="E10">
        <v>8900</v>
      </c>
      <c r="F10">
        <v>0</v>
      </c>
    </row>
    <row r="11" spans="1:6" x14ac:dyDescent="0.25">
      <c r="A11" s="1" t="s">
        <v>100</v>
      </c>
      <c r="B11" s="1">
        <v>10000</v>
      </c>
      <c r="C11" s="1" t="s">
        <v>92</v>
      </c>
      <c r="D11">
        <v>0.21</v>
      </c>
      <c r="E11">
        <v>4900</v>
      </c>
      <c r="F11">
        <v>0</v>
      </c>
    </row>
    <row r="12" spans="1:6" x14ac:dyDescent="0.25">
      <c r="A12" s="1" t="s">
        <v>84</v>
      </c>
      <c r="B12" s="1">
        <v>10000</v>
      </c>
      <c r="C12" s="1" t="s">
        <v>82</v>
      </c>
      <c r="D12">
        <v>0.35</v>
      </c>
      <c r="E12">
        <v>8900</v>
      </c>
      <c r="F12">
        <v>0</v>
      </c>
    </row>
    <row r="13" spans="1:6" x14ac:dyDescent="0.25">
      <c r="A13" s="1" t="s">
        <v>84</v>
      </c>
      <c r="B13" s="1">
        <v>10000</v>
      </c>
      <c r="C13" s="1" t="s">
        <v>82</v>
      </c>
      <c r="D13">
        <v>0.35</v>
      </c>
      <c r="E13">
        <v>4900</v>
      </c>
      <c r="F13">
        <v>0</v>
      </c>
    </row>
    <row r="14" spans="1:6" x14ac:dyDescent="0.25">
      <c r="A14" s="1" t="s">
        <v>81</v>
      </c>
      <c r="B14" s="1">
        <v>50000</v>
      </c>
      <c r="C14" s="1" t="s">
        <v>82</v>
      </c>
      <c r="D14">
        <v>0.15</v>
      </c>
      <c r="E14">
        <v>31400</v>
      </c>
      <c r="F14">
        <v>0</v>
      </c>
    </row>
    <row r="15" spans="1:6" x14ac:dyDescent="0.25">
      <c r="A15" s="1" t="s">
        <v>81</v>
      </c>
      <c r="B15" s="1">
        <v>50000</v>
      </c>
      <c r="C15" s="1" t="s">
        <v>82</v>
      </c>
      <c r="D15">
        <v>0.15</v>
      </c>
      <c r="E15">
        <v>32400</v>
      </c>
      <c r="F15">
        <v>0</v>
      </c>
    </row>
    <row r="16" spans="1:6" x14ac:dyDescent="0.25">
      <c r="A16" s="1" t="s">
        <v>83</v>
      </c>
      <c r="B16" s="1">
        <v>15000</v>
      </c>
      <c r="C16" s="1" t="s">
        <v>82</v>
      </c>
      <c r="D16">
        <v>0.25</v>
      </c>
      <c r="E16">
        <v>-3900</v>
      </c>
      <c r="F16">
        <v>975</v>
      </c>
    </row>
    <row r="17" spans="1:6" x14ac:dyDescent="0.25">
      <c r="A17" s="1" t="s">
        <v>83</v>
      </c>
      <c r="B17" s="1">
        <v>15000</v>
      </c>
      <c r="C17" s="1" t="s">
        <v>82</v>
      </c>
      <c r="D17">
        <v>0.25</v>
      </c>
      <c r="E17">
        <v>6900</v>
      </c>
      <c r="F17">
        <v>0</v>
      </c>
    </row>
    <row r="18" spans="1:6" x14ac:dyDescent="0.25">
      <c r="A18" s="1" t="s">
        <v>108</v>
      </c>
      <c r="B18" s="1">
        <v>5000</v>
      </c>
      <c r="C18" s="1" t="s">
        <v>92</v>
      </c>
      <c r="D18">
        <v>1.2</v>
      </c>
      <c r="E18">
        <v>4325</v>
      </c>
      <c r="F18">
        <v>0</v>
      </c>
    </row>
    <row r="19" spans="1:6" x14ac:dyDescent="0.25">
      <c r="A19" s="1" t="s">
        <v>95</v>
      </c>
      <c r="B19" s="1">
        <v>60000</v>
      </c>
      <c r="C19" s="1" t="s">
        <v>82</v>
      </c>
      <c r="D19">
        <v>0.05</v>
      </c>
      <c r="E19">
        <v>36300</v>
      </c>
      <c r="F19">
        <v>0</v>
      </c>
    </row>
    <row r="20" spans="1:6" x14ac:dyDescent="0.25">
      <c r="A20" s="1" t="s">
        <v>112</v>
      </c>
      <c r="B20" s="1">
        <v>20000</v>
      </c>
      <c r="C20" s="1" t="s">
        <v>82</v>
      </c>
      <c r="D20">
        <v>0.08</v>
      </c>
      <c r="E20">
        <v>12600</v>
      </c>
      <c r="F20">
        <v>0</v>
      </c>
    </row>
    <row r="21" spans="1:6" x14ac:dyDescent="0.25">
      <c r="A21" s="1" t="s">
        <v>112</v>
      </c>
      <c r="B21" s="1">
        <v>20000</v>
      </c>
      <c r="C21" s="1" t="s">
        <v>82</v>
      </c>
      <c r="D21">
        <v>0.08</v>
      </c>
      <c r="E21">
        <v>11900</v>
      </c>
      <c r="F21">
        <v>0</v>
      </c>
    </row>
    <row r="22" spans="1:6" x14ac:dyDescent="0.25">
      <c r="A22" s="1" t="s">
        <v>93</v>
      </c>
      <c r="B22" s="1">
        <v>600000</v>
      </c>
      <c r="C22" s="1" t="s">
        <v>92</v>
      </c>
      <c r="D22">
        <v>1.2E-2</v>
      </c>
      <c r="E22">
        <v>113725</v>
      </c>
      <c r="F22">
        <v>0</v>
      </c>
    </row>
    <row r="23" spans="1:6" x14ac:dyDescent="0.25">
      <c r="A23" s="1" t="s">
        <v>91</v>
      </c>
      <c r="B23" s="1">
        <v>500000</v>
      </c>
      <c r="C23" s="1" t="s">
        <v>92</v>
      </c>
      <c r="D23">
        <v>1.4999999999999999E-2</v>
      </c>
      <c r="E23">
        <v>-86275</v>
      </c>
      <c r="F23">
        <v>1294.125</v>
      </c>
    </row>
    <row r="24" spans="1:6" x14ac:dyDescent="0.25">
      <c r="A24" s="1" t="s">
        <v>80</v>
      </c>
      <c r="B24" s="1">
        <v>50000</v>
      </c>
      <c r="C24" s="1" t="s">
        <v>92</v>
      </c>
      <c r="D24">
        <v>0.25</v>
      </c>
      <c r="E24">
        <v>31400</v>
      </c>
      <c r="F24">
        <v>0</v>
      </c>
    </row>
    <row r="25" spans="1:6" x14ac:dyDescent="0.25">
      <c r="A25" s="1" t="s">
        <v>80</v>
      </c>
      <c r="B25" s="1">
        <v>50000</v>
      </c>
      <c r="C25" s="1" t="s">
        <v>92</v>
      </c>
      <c r="D25">
        <v>0.25</v>
      </c>
      <c r="E25">
        <v>32400</v>
      </c>
      <c r="F25">
        <v>0</v>
      </c>
    </row>
    <row r="26" spans="1:6" x14ac:dyDescent="0.25">
      <c r="A26" s="1" t="s">
        <v>96</v>
      </c>
      <c r="B26" s="1">
        <v>80000</v>
      </c>
      <c r="C26" s="1" t="s">
        <v>82</v>
      </c>
      <c r="D26">
        <v>0.03</v>
      </c>
      <c r="E26">
        <v>48200</v>
      </c>
      <c r="F26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5B95-0D1B-4F13-A36A-4B62379BB14C}">
  <dimension ref="A2:E95"/>
  <sheetViews>
    <sheetView topLeftCell="A2" workbookViewId="0">
      <selection activeCell="A2" sqref="A2:E95"/>
    </sheetView>
  </sheetViews>
  <sheetFormatPr defaultRowHeight="15" x14ac:dyDescent="0.25"/>
  <cols>
    <col min="1" max="2" width="10.140625" customWidth="1"/>
    <col min="3" max="3" width="11.42578125" customWidth="1"/>
    <col min="5" max="5" width="12.140625" customWidth="1"/>
  </cols>
  <sheetData>
    <row r="2" spans="1:5" x14ac:dyDescent="0.25">
      <c r="A2" s="3" t="s">
        <v>2</v>
      </c>
      <c r="B2" s="3" t="s">
        <v>86</v>
      </c>
      <c r="C2" s="3" t="s">
        <v>87</v>
      </c>
      <c r="D2" s="3" t="s">
        <v>88</v>
      </c>
      <c r="E2" s="3" t="s">
        <v>79</v>
      </c>
    </row>
    <row r="3" spans="1:5" x14ac:dyDescent="0.25">
      <c r="A3" t="s">
        <v>89</v>
      </c>
      <c r="B3" t="s">
        <v>90</v>
      </c>
      <c r="C3" t="s">
        <v>91</v>
      </c>
      <c r="D3">
        <v>4</v>
      </c>
      <c r="E3" t="s">
        <v>92</v>
      </c>
    </row>
    <row r="4" spans="1:5" x14ac:dyDescent="0.25">
      <c r="A4" t="s">
        <v>89</v>
      </c>
      <c r="B4" t="s">
        <v>90</v>
      </c>
      <c r="C4" t="s">
        <v>93</v>
      </c>
      <c r="D4">
        <v>4</v>
      </c>
      <c r="E4" t="s">
        <v>92</v>
      </c>
    </row>
    <row r="5" spans="1:5" x14ac:dyDescent="0.25">
      <c r="A5" t="s">
        <v>89</v>
      </c>
      <c r="B5" t="s">
        <v>90</v>
      </c>
      <c r="C5" t="s">
        <v>80</v>
      </c>
      <c r="D5">
        <v>1</v>
      </c>
      <c r="E5" t="s">
        <v>92</v>
      </c>
    </row>
    <row r="6" spans="1:5" x14ac:dyDescent="0.25">
      <c r="A6" t="s">
        <v>89</v>
      </c>
      <c r="B6" t="s">
        <v>90</v>
      </c>
      <c r="C6" t="s">
        <v>94</v>
      </c>
      <c r="D6">
        <v>1</v>
      </c>
      <c r="E6" t="s">
        <v>92</v>
      </c>
    </row>
    <row r="7" spans="1:5" x14ac:dyDescent="0.25">
      <c r="A7" t="s">
        <v>89</v>
      </c>
      <c r="B7" t="s">
        <v>90</v>
      </c>
      <c r="C7" t="s">
        <v>81</v>
      </c>
      <c r="D7">
        <v>1</v>
      </c>
      <c r="E7" t="s">
        <v>82</v>
      </c>
    </row>
    <row r="8" spans="1:5" x14ac:dyDescent="0.25">
      <c r="A8" t="s">
        <v>89</v>
      </c>
      <c r="B8" t="s">
        <v>90</v>
      </c>
      <c r="C8" t="s">
        <v>95</v>
      </c>
      <c r="D8">
        <v>1</v>
      </c>
      <c r="E8" t="s">
        <v>82</v>
      </c>
    </row>
    <row r="9" spans="1:5" x14ac:dyDescent="0.25">
      <c r="A9" t="s">
        <v>89</v>
      </c>
      <c r="B9" t="s">
        <v>90</v>
      </c>
      <c r="C9" t="s">
        <v>96</v>
      </c>
      <c r="D9">
        <v>1</v>
      </c>
      <c r="E9" t="s">
        <v>82</v>
      </c>
    </row>
    <row r="11" spans="1:5" x14ac:dyDescent="0.25">
      <c r="A11" t="s">
        <v>97</v>
      </c>
      <c r="B11" t="s">
        <v>90</v>
      </c>
      <c r="C11" t="s">
        <v>91</v>
      </c>
      <c r="D11">
        <v>4</v>
      </c>
      <c r="E11" t="s">
        <v>92</v>
      </c>
    </row>
    <row r="12" spans="1:5" x14ac:dyDescent="0.25">
      <c r="A12" t="s">
        <v>97</v>
      </c>
      <c r="B12" t="s">
        <v>90</v>
      </c>
      <c r="C12" t="s">
        <v>93</v>
      </c>
      <c r="D12">
        <v>4</v>
      </c>
      <c r="E12" t="s">
        <v>92</v>
      </c>
    </row>
    <row r="13" spans="1:5" x14ac:dyDescent="0.25">
      <c r="A13" t="s">
        <v>97</v>
      </c>
      <c r="B13" t="s">
        <v>90</v>
      </c>
      <c r="C13" t="s">
        <v>80</v>
      </c>
      <c r="D13">
        <v>1</v>
      </c>
      <c r="E13" t="s">
        <v>92</v>
      </c>
    </row>
    <row r="14" spans="1:5" x14ac:dyDescent="0.25">
      <c r="A14" t="s">
        <v>97</v>
      </c>
      <c r="B14" t="s">
        <v>90</v>
      </c>
      <c r="C14" t="s">
        <v>98</v>
      </c>
      <c r="D14">
        <v>1</v>
      </c>
      <c r="E14" t="s">
        <v>92</v>
      </c>
    </row>
    <row r="15" spans="1:5" x14ac:dyDescent="0.25">
      <c r="A15" t="s">
        <v>97</v>
      </c>
      <c r="B15" t="s">
        <v>90</v>
      </c>
      <c r="C15" t="s">
        <v>81</v>
      </c>
      <c r="D15">
        <v>1</v>
      </c>
      <c r="E15" t="s">
        <v>82</v>
      </c>
    </row>
    <row r="16" spans="1:5" x14ac:dyDescent="0.25">
      <c r="A16" t="s">
        <v>97</v>
      </c>
      <c r="B16" t="s">
        <v>90</v>
      </c>
      <c r="C16" t="s">
        <v>95</v>
      </c>
      <c r="D16">
        <v>1</v>
      </c>
      <c r="E16" t="s">
        <v>82</v>
      </c>
    </row>
    <row r="17" spans="1:5" x14ac:dyDescent="0.25">
      <c r="A17" t="s">
        <v>97</v>
      </c>
      <c r="B17" t="s">
        <v>90</v>
      </c>
      <c r="C17" t="s">
        <v>96</v>
      </c>
      <c r="D17">
        <v>1</v>
      </c>
      <c r="E17" t="s">
        <v>82</v>
      </c>
    </row>
    <row r="19" spans="1:5" x14ac:dyDescent="0.25">
      <c r="A19" t="s">
        <v>99</v>
      </c>
      <c r="B19" t="s">
        <v>90</v>
      </c>
      <c r="C19" t="s">
        <v>91</v>
      </c>
      <c r="D19">
        <v>4</v>
      </c>
      <c r="E19" t="s">
        <v>92</v>
      </c>
    </row>
    <row r="20" spans="1:5" x14ac:dyDescent="0.25">
      <c r="A20" t="s">
        <v>99</v>
      </c>
      <c r="B20" t="s">
        <v>90</v>
      </c>
      <c r="C20" t="s">
        <v>93</v>
      </c>
      <c r="D20">
        <v>4</v>
      </c>
      <c r="E20" t="s">
        <v>92</v>
      </c>
    </row>
    <row r="21" spans="1:5" x14ac:dyDescent="0.25">
      <c r="A21" t="s">
        <v>99</v>
      </c>
      <c r="B21" t="s">
        <v>90</v>
      </c>
      <c r="C21" t="s">
        <v>80</v>
      </c>
      <c r="D21">
        <v>1</v>
      </c>
      <c r="E21" t="s">
        <v>92</v>
      </c>
    </row>
    <row r="22" spans="1:5" x14ac:dyDescent="0.25">
      <c r="A22" t="s">
        <v>99</v>
      </c>
      <c r="B22" t="s">
        <v>90</v>
      </c>
      <c r="C22" t="s">
        <v>100</v>
      </c>
      <c r="D22">
        <v>1</v>
      </c>
      <c r="E22" t="s">
        <v>92</v>
      </c>
    </row>
    <row r="23" spans="1:5" x14ac:dyDescent="0.25">
      <c r="A23" t="s">
        <v>99</v>
      </c>
      <c r="B23" t="s">
        <v>90</v>
      </c>
      <c r="C23" t="s">
        <v>81</v>
      </c>
      <c r="D23">
        <v>1</v>
      </c>
      <c r="E23" t="s">
        <v>82</v>
      </c>
    </row>
    <row r="24" spans="1:5" x14ac:dyDescent="0.25">
      <c r="A24" t="s">
        <v>99</v>
      </c>
      <c r="B24" t="s">
        <v>90</v>
      </c>
      <c r="C24" t="s">
        <v>95</v>
      </c>
      <c r="D24">
        <v>1</v>
      </c>
      <c r="E24" t="s">
        <v>82</v>
      </c>
    </row>
    <row r="25" spans="1:5" x14ac:dyDescent="0.25">
      <c r="A25" t="s">
        <v>99</v>
      </c>
      <c r="B25" t="s">
        <v>90</v>
      </c>
      <c r="C25" t="s">
        <v>96</v>
      </c>
      <c r="D25">
        <v>1</v>
      </c>
      <c r="E25" t="s">
        <v>82</v>
      </c>
    </row>
    <row r="27" spans="1:5" x14ac:dyDescent="0.25">
      <c r="A27" t="s">
        <v>101</v>
      </c>
      <c r="B27" t="s">
        <v>90</v>
      </c>
      <c r="C27" t="s">
        <v>91</v>
      </c>
      <c r="D27">
        <v>4</v>
      </c>
      <c r="E27" t="s">
        <v>92</v>
      </c>
    </row>
    <row r="28" spans="1:5" x14ac:dyDescent="0.25">
      <c r="A28" t="s">
        <v>101</v>
      </c>
      <c r="B28" t="s">
        <v>90</v>
      </c>
      <c r="C28" t="s">
        <v>93</v>
      </c>
      <c r="D28">
        <v>4</v>
      </c>
      <c r="E28" t="s">
        <v>92</v>
      </c>
    </row>
    <row r="29" spans="1:5" x14ac:dyDescent="0.25">
      <c r="A29" t="s">
        <v>101</v>
      </c>
      <c r="B29" t="s">
        <v>90</v>
      </c>
      <c r="C29" t="s">
        <v>80</v>
      </c>
      <c r="D29">
        <v>1</v>
      </c>
      <c r="E29" t="s">
        <v>92</v>
      </c>
    </row>
    <row r="30" spans="1:5" x14ac:dyDescent="0.25">
      <c r="A30" t="s">
        <v>101</v>
      </c>
      <c r="B30" t="s">
        <v>90</v>
      </c>
      <c r="C30" t="s">
        <v>102</v>
      </c>
      <c r="D30">
        <v>1</v>
      </c>
      <c r="E30" t="s">
        <v>92</v>
      </c>
    </row>
    <row r="31" spans="1:5" x14ac:dyDescent="0.25">
      <c r="A31" t="s">
        <v>101</v>
      </c>
      <c r="B31" t="s">
        <v>90</v>
      </c>
      <c r="C31" t="s">
        <v>81</v>
      </c>
      <c r="D31">
        <v>1</v>
      </c>
      <c r="E31" t="s">
        <v>82</v>
      </c>
    </row>
    <row r="32" spans="1:5" x14ac:dyDescent="0.25">
      <c r="A32" t="s">
        <v>101</v>
      </c>
      <c r="B32" t="s">
        <v>90</v>
      </c>
      <c r="C32" t="s">
        <v>95</v>
      </c>
      <c r="D32">
        <v>1</v>
      </c>
      <c r="E32" t="s">
        <v>82</v>
      </c>
    </row>
    <row r="33" spans="1:5" x14ac:dyDescent="0.25">
      <c r="A33" t="s">
        <v>101</v>
      </c>
      <c r="B33" t="s">
        <v>90</v>
      </c>
      <c r="C33" t="s">
        <v>96</v>
      </c>
      <c r="D33">
        <v>1</v>
      </c>
      <c r="E33" t="s">
        <v>82</v>
      </c>
    </row>
    <row r="35" spans="1:5" x14ac:dyDescent="0.25">
      <c r="A35" t="s">
        <v>103</v>
      </c>
      <c r="B35" t="s">
        <v>90</v>
      </c>
      <c r="C35" t="s">
        <v>91</v>
      </c>
      <c r="D35">
        <v>4</v>
      </c>
      <c r="E35" t="s">
        <v>92</v>
      </c>
    </row>
    <row r="36" spans="1:5" x14ac:dyDescent="0.25">
      <c r="A36" t="s">
        <v>103</v>
      </c>
      <c r="B36" t="s">
        <v>90</v>
      </c>
      <c r="C36" t="s">
        <v>93</v>
      </c>
      <c r="D36">
        <v>4</v>
      </c>
      <c r="E36" t="s">
        <v>92</v>
      </c>
    </row>
    <row r="37" spans="1:5" x14ac:dyDescent="0.25">
      <c r="A37" t="s">
        <v>103</v>
      </c>
      <c r="B37" t="s">
        <v>90</v>
      </c>
      <c r="C37" t="s">
        <v>80</v>
      </c>
      <c r="D37">
        <v>1</v>
      </c>
      <c r="E37" t="s">
        <v>92</v>
      </c>
    </row>
    <row r="38" spans="1:5" x14ac:dyDescent="0.25">
      <c r="A38" t="s">
        <v>103</v>
      </c>
      <c r="B38" t="s">
        <v>90</v>
      </c>
      <c r="C38" t="s">
        <v>104</v>
      </c>
      <c r="D38">
        <v>1</v>
      </c>
      <c r="E38" t="s">
        <v>92</v>
      </c>
    </row>
    <row r="39" spans="1:5" x14ac:dyDescent="0.25">
      <c r="A39" t="s">
        <v>103</v>
      </c>
      <c r="B39" t="s">
        <v>90</v>
      </c>
      <c r="C39" t="s">
        <v>81</v>
      </c>
      <c r="D39">
        <v>1</v>
      </c>
      <c r="E39" t="s">
        <v>82</v>
      </c>
    </row>
    <row r="40" spans="1:5" x14ac:dyDescent="0.25">
      <c r="A40" t="s">
        <v>103</v>
      </c>
      <c r="B40" t="s">
        <v>90</v>
      </c>
      <c r="C40" t="s">
        <v>95</v>
      </c>
      <c r="D40">
        <v>1</v>
      </c>
      <c r="E40" t="s">
        <v>82</v>
      </c>
    </row>
    <row r="41" spans="1:5" x14ac:dyDescent="0.25">
      <c r="A41" t="s">
        <v>103</v>
      </c>
      <c r="B41" t="s">
        <v>90</v>
      </c>
      <c r="C41" t="s">
        <v>96</v>
      </c>
      <c r="D41">
        <v>1</v>
      </c>
      <c r="E41" t="s">
        <v>82</v>
      </c>
    </row>
    <row r="43" spans="1:5" x14ac:dyDescent="0.25">
      <c r="A43" t="s">
        <v>105</v>
      </c>
      <c r="B43" t="s">
        <v>106</v>
      </c>
      <c r="C43" t="s">
        <v>91</v>
      </c>
      <c r="D43">
        <v>50</v>
      </c>
      <c r="E43" t="s">
        <v>92</v>
      </c>
    </row>
    <row r="44" spans="1:5" x14ac:dyDescent="0.25">
      <c r="A44" t="s">
        <v>105</v>
      </c>
      <c r="B44" t="s">
        <v>106</v>
      </c>
      <c r="C44" t="s">
        <v>93</v>
      </c>
      <c r="D44">
        <v>50</v>
      </c>
      <c r="E44" t="s">
        <v>92</v>
      </c>
    </row>
    <row r="45" spans="1:5" x14ac:dyDescent="0.25">
      <c r="A45" t="s">
        <v>105</v>
      </c>
      <c r="B45" t="s">
        <v>106</v>
      </c>
      <c r="C45" t="s">
        <v>84</v>
      </c>
      <c r="D45">
        <v>1</v>
      </c>
      <c r="E45" t="s">
        <v>82</v>
      </c>
    </row>
    <row r="46" spans="1:5" x14ac:dyDescent="0.25">
      <c r="A46" t="s">
        <v>105</v>
      </c>
      <c r="B46" t="s">
        <v>106</v>
      </c>
      <c r="C46" t="s">
        <v>95</v>
      </c>
      <c r="D46">
        <v>1</v>
      </c>
      <c r="E46" t="s">
        <v>82</v>
      </c>
    </row>
    <row r="47" spans="1:5" x14ac:dyDescent="0.25">
      <c r="A47" t="s">
        <v>105</v>
      </c>
      <c r="B47" t="s">
        <v>106</v>
      </c>
      <c r="C47" t="s">
        <v>96</v>
      </c>
      <c r="D47">
        <v>1</v>
      </c>
      <c r="E47" t="s">
        <v>82</v>
      </c>
    </row>
    <row r="49" spans="1:5" x14ac:dyDescent="0.25">
      <c r="A49" t="s">
        <v>107</v>
      </c>
      <c r="B49" t="s">
        <v>106</v>
      </c>
      <c r="C49" t="s">
        <v>91</v>
      </c>
      <c r="D49">
        <v>70</v>
      </c>
      <c r="E49" t="s">
        <v>92</v>
      </c>
    </row>
    <row r="50" spans="1:5" x14ac:dyDescent="0.25">
      <c r="A50" t="s">
        <v>107</v>
      </c>
      <c r="B50" t="s">
        <v>106</v>
      </c>
      <c r="C50" t="s">
        <v>93</v>
      </c>
      <c r="D50">
        <v>30</v>
      </c>
      <c r="E50" t="s">
        <v>92</v>
      </c>
    </row>
    <row r="51" spans="1:5" x14ac:dyDescent="0.25">
      <c r="A51" t="s">
        <v>107</v>
      </c>
      <c r="B51" t="s">
        <v>106</v>
      </c>
      <c r="C51" t="s">
        <v>84</v>
      </c>
      <c r="D51">
        <v>1</v>
      </c>
      <c r="E51" t="s">
        <v>82</v>
      </c>
    </row>
    <row r="52" spans="1:5" x14ac:dyDescent="0.25">
      <c r="A52" t="s">
        <v>107</v>
      </c>
      <c r="B52" t="s">
        <v>106</v>
      </c>
      <c r="C52" t="s">
        <v>95</v>
      </c>
      <c r="D52">
        <v>1</v>
      </c>
      <c r="E52" t="s">
        <v>82</v>
      </c>
    </row>
    <row r="53" spans="1:5" x14ac:dyDescent="0.25">
      <c r="A53" t="s">
        <v>107</v>
      </c>
      <c r="B53" t="s">
        <v>106</v>
      </c>
      <c r="C53" t="s">
        <v>96</v>
      </c>
      <c r="D53">
        <v>1</v>
      </c>
      <c r="E53" t="s">
        <v>82</v>
      </c>
    </row>
    <row r="55" spans="1:5" x14ac:dyDescent="0.25">
      <c r="A55" t="s">
        <v>36</v>
      </c>
      <c r="B55" t="s">
        <v>90</v>
      </c>
      <c r="C55" t="s">
        <v>91</v>
      </c>
      <c r="D55">
        <v>4.5</v>
      </c>
      <c r="E55" t="s">
        <v>92</v>
      </c>
    </row>
    <row r="56" spans="1:5" x14ac:dyDescent="0.25">
      <c r="A56" t="s">
        <v>36</v>
      </c>
      <c r="B56" t="s">
        <v>90</v>
      </c>
      <c r="C56" t="s">
        <v>93</v>
      </c>
      <c r="D56">
        <v>4.5</v>
      </c>
      <c r="E56" t="s">
        <v>92</v>
      </c>
    </row>
    <row r="57" spans="1:5" x14ac:dyDescent="0.25">
      <c r="A57" t="s">
        <v>36</v>
      </c>
      <c r="B57" t="s">
        <v>90</v>
      </c>
      <c r="C57" t="s">
        <v>108</v>
      </c>
      <c r="D57">
        <v>0.5</v>
      </c>
      <c r="E57" t="s">
        <v>92</v>
      </c>
    </row>
    <row r="58" spans="1:5" x14ac:dyDescent="0.25">
      <c r="A58" t="s">
        <v>36</v>
      </c>
      <c r="B58" t="s">
        <v>90</v>
      </c>
      <c r="C58" t="s">
        <v>81</v>
      </c>
      <c r="D58">
        <v>1</v>
      </c>
      <c r="E58" t="s">
        <v>82</v>
      </c>
    </row>
    <row r="59" spans="1:5" x14ac:dyDescent="0.25">
      <c r="A59" t="s">
        <v>36</v>
      </c>
      <c r="B59" t="s">
        <v>90</v>
      </c>
      <c r="C59" t="s">
        <v>95</v>
      </c>
      <c r="D59">
        <v>1</v>
      </c>
      <c r="E59" t="s">
        <v>82</v>
      </c>
    </row>
    <row r="60" spans="1:5" x14ac:dyDescent="0.25">
      <c r="A60" t="s">
        <v>36</v>
      </c>
      <c r="B60" t="s">
        <v>90</v>
      </c>
      <c r="C60" t="s">
        <v>96</v>
      </c>
      <c r="D60">
        <v>1</v>
      </c>
      <c r="E60" t="s">
        <v>82</v>
      </c>
    </row>
    <row r="62" spans="1:5" x14ac:dyDescent="0.25">
      <c r="A62" t="s">
        <v>37</v>
      </c>
      <c r="B62" t="s">
        <v>90</v>
      </c>
      <c r="C62" t="s">
        <v>91</v>
      </c>
      <c r="D62">
        <v>4</v>
      </c>
      <c r="E62" t="s">
        <v>92</v>
      </c>
    </row>
    <row r="63" spans="1:5" x14ac:dyDescent="0.25">
      <c r="A63" t="s">
        <v>37</v>
      </c>
      <c r="B63" t="s">
        <v>90</v>
      </c>
      <c r="C63" t="s">
        <v>93</v>
      </c>
      <c r="D63">
        <v>4</v>
      </c>
      <c r="E63" t="s">
        <v>92</v>
      </c>
    </row>
    <row r="64" spans="1:5" x14ac:dyDescent="0.25">
      <c r="A64" t="s">
        <v>37</v>
      </c>
      <c r="B64" t="s">
        <v>90</v>
      </c>
      <c r="C64" t="s">
        <v>108</v>
      </c>
      <c r="D64">
        <v>1</v>
      </c>
      <c r="E64" t="s">
        <v>92</v>
      </c>
    </row>
    <row r="65" spans="1:5" x14ac:dyDescent="0.25">
      <c r="A65" t="s">
        <v>37</v>
      </c>
      <c r="B65" t="s">
        <v>90</v>
      </c>
      <c r="C65" t="s">
        <v>81</v>
      </c>
      <c r="D65">
        <v>1</v>
      </c>
      <c r="E65" t="s">
        <v>82</v>
      </c>
    </row>
    <row r="66" spans="1:5" x14ac:dyDescent="0.25">
      <c r="A66" t="s">
        <v>37</v>
      </c>
      <c r="B66" t="s">
        <v>90</v>
      </c>
      <c r="C66" t="s">
        <v>95</v>
      </c>
      <c r="D66">
        <v>1</v>
      </c>
      <c r="E66" t="s">
        <v>82</v>
      </c>
    </row>
    <row r="67" spans="1:5" x14ac:dyDescent="0.25">
      <c r="A67" t="s">
        <v>37</v>
      </c>
      <c r="B67" t="s">
        <v>90</v>
      </c>
      <c r="C67" t="s">
        <v>96</v>
      </c>
      <c r="D67">
        <v>1</v>
      </c>
      <c r="E67" t="s">
        <v>82</v>
      </c>
    </row>
    <row r="69" spans="1:5" x14ac:dyDescent="0.25">
      <c r="A69" t="s">
        <v>38</v>
      </c>
      <c r="B69" t="s">
        <v>90</v>
      </c>
      <c r="C69" t="s">
        <v>91</v>
      </c>
      <c r="D69">
        <v>3.5</v>
      </c>
      <c r="E69" t="s">
        <v>92</v>
      </c>
    </row>
    <row r="70" spans="1:5" x14ac:dyDescent="0.25">
      <c r="A70" t="s">
        <v>38</v>
      </c>
      <c r="B70" t="s">
        <v>90</v>
      </c>
      <c r="C70" t="s">
        <v>93</v>
      </c>
      <c r="D70">
        <v>3.5</v>
      </c>
      <c r="E70" t="s">
        <v>92</v>
      </c>
    </row>
    <row r="71" spans="1:5" x14ac:dyDescent="0.25">
      <c r="A71" t="s">
        <v>38</v>
      </c>
      <c r="B71" t="s">
        <v>90</v>
      </c>
      <c r="C71" t="s">
        <v>108</v>
      </c>
      <c r="D71">
        <v>1.5</v>
      </c>
      <c r="E71" t="s">
        <v>92</v>
      </c>
    </row>
    <row r="72" spans="1:5" x14ac:dyDescent="0.25">
      <c r="A72" t="s">
        <v>38</v>
      </c>
      <c r="B72" t="s">
        <v>90</v>
      </c>
      <c r="C72" t="s">
        <v>81</v>
      </c>
      <c r="D72">
        <v>1</v>
      </c>
      <c r="E72" t="s">
        <v>82</v>
      </c>
    </row>
    <row r="73" spans="1:5" x14ac:dyDescent="0.25">
      <c r="A73" t="s">
        <v>38</v>
      </c>
      <c r="B73" t="s">
        <v>90</v>
      </c>
      <c r="C73" t="s">
        <v>95</v>
      </c>
      <c r="D73">
        <v>1</v>
      </c>
      <c r="E73" t="s">
        <v>82</v>
      </c>
    </row>
    <row r="74" spans="1:5" x14ac:dyDescent="0.25">
      <c r="A74" t="s">
        <v>38</v>
      </c>
      <c r="B74" t="s">
        <v>90</v>
      </c>
      <c r="C74" t="s">
        <v>96</v>
      </c>
      <c r="D74">
        <v>1</v>
      </c>
      <c r="E74" t="s">
        <v>82</v>
      </c>
    </row>
    <row r="76" spans="1:5" x14ac:dyDescent="0.25">
      <c r="A76" t="s">
        <v>109</v>
      </c>
      <c r="B76" t="s">
        <v>110</v>
      </c>
      <c r="C76" t="s">
        <v>91</v>
      </c>
      <c r="D76">
        <v>25.5</v>
      </c>
      <c r="E76" t="s">
        <v>92</v>
      </c>
    </row>
    <row r="77" spans="1:5" x14ac:dyDescent="0.25">
      <c r="A77" t="s">
        <v>109</v>
      </c>
      <c r="B77" t="s">
        <v>110</v>
      </c>
      <c r="C77" t="s">
        <v>93</v>
      </c>
      <c r="D77">
        <v>25.5</v>
      </c>
      <c r="E77" t="s">
        <v>92</v>
      </c>
    </row>
    <row r="78" spans="1:5" x14ac:dyDescent="0.25">
      <c r="A78" t="s">
        <v>109</v>
      </c>
      <c r="B78" t="s">
        <v>110</v>
      </c>
      <c r="C78" t="s">
        <v>111</v>
      </c>
      <c r="D78">
        <v>9</v>
      </c>
      <c r="E78" t="s">
        <v>92</v>
      </c>
    </row>
    <row r="79" spans="1:5" x14ac:dyDescent="0.25">
      <c r="A79" t="s">
        <v>109</v>
      </c>
      <c r="B79" t="s">
        <v>110</v>
      </c>
      <c r="C79" t="s">
        <v>83</v>
      </c>
      <c r="D79">
        <v>1</v>
      </c>
      <c r="E79" t="s">
        <v>82</v>
      </c>
    </row>
    <row r="80" spans="1:5" x14ac:dyDescent="0.25">
      <c r="A80" t="s">
        <v>109</v>
      </c>
      <c r="B80" t="s">
        <v>110</v>
      </c>
      <c r="C80" t="s">
        <v>112</v>
      </c>
      <c r="D80">
        <v>1</v>
      </c>
      <c r="E80" t="s">
        <v>82</v>
      </c>
    </row>
    <row r="81" spans="1:5" x14ac:dyDescent="0.25">
      <c r="A81" t="s">
        <v>109</v>
      </c>
      <c r="B81" t="s">
        <v>110</v>
      </c>
      <c r="C81" t="s">
        <v>96</v>
      </c>
      <c r="D81">
        <v>1</v>
      </c>
      <c r="E81" t="s">
        <v>82</v>
      </c>
    </row>
    <row r="83" spans="1:5" x14ac:dyDescent="0.25">
      <c r="A83" t="s">
        <v>113</v>
      </c>
      <c r="B83" t="s">
        <v>110</v>
      </c>
      <c r="C83" t="s">
        <v>91</v>
      </c>
      <c r="D83">
        <v>25.5</v>
      </c>
      <c r="E83" t="s">
        <v>92</v>
      </c>
    </row>
    <row r="84" spans="1:5" x14ac:dyDescent="0.25">
      <c r="A84" t="s">
        <v>113</v>
      </c>
      <c r="B84" t="s">
        <v>110</v>
      </c>
      <c r="C84" t="s">
        <v>93</v>
      </c>
      <c r="D84">
        <v>25.5</v>
      </c>
      <c r="E84" t="s">
        <v>92</v>
      </c>
    </row>
    <row r="85" spans="1:5" x14ac:dyDescent="0.25">
      <c r="A85" t="s">
        <v>113</v>
      </c>
      <c r="B85" t="s">
        <v>110</v>
      </c>
      <c r="C85" t="s">
        <v>114</v>
      </c>
      <c r="D85">
        <v>9</v>
      </c>
      <c r="E85" t="s">
        <v>92</v>
      </c>
    </row>
    <row r="86" spans="1:5" x14ac:dyDescent="0.25">
      <c r="A86" t="s">
        <v>113</v>
      </c>
      <c r="B86" t="s">
        <v>110</v>
      </c>
      <c r="C86" t="s">
        <v>83</v>
      </c>
      <c r="D86">
        <v>1</v>
      </c>
      <c r="E86" t="s">
        <v>82</v>
      </c>
    </row>
    <row r="87" spans="1:5" x14ac:dyDescent="0.25">
      <c r="A87" t="s">
        <v>113</v>
      </c>
      <c r="B87" t="s">
        <v>110</v>
      </c>
      <c r="C87" t="s">
        <v>112</v>
      </c>
      <c r="D87">
        <v>1</v>
      </c>
      <c r="E87" t="s">
        <v>82</v>
      </c>
    </row>
    <row r="88" spans="1:5" x14ac:dyDescent="0.25">
      <c r="A88" t="s">
        <v>113</v>
      </c>
      <c r="B88" t="s">
        <v>110</v>
      </c>
      <c r="C88" t="s">
        <v>96</v>
      </c>
      <c r="D88">
        <v>1</v>
      </c>
      <c r="E88" t="s">
        <v>82</v>
      </c>
    </row>
    <row r="90" spans="1:5" x14ac:dyDescent="0.25">
      <c r="A90" t="s">
        <v>115</v>
      </c>
      <c r="B90" t="s">
        <v>110</v>
      </c>
      <c r="C90" t="s">
        <v>91</v>
      </c>
      <c r="D90">
        <v>25.5</v>
      </c>
      <c r="E90" t="s">
        <v>92</v>
      </c>
    </row>
    <row r="91" spans="1:5" x14ac:dyDescent="0.25">
      <c r="A91" t="s">
        <v>115</v>
      </c>
      <c r="B91" t="s">
        <v>110</v>
      </c>
      <c r="C91" t="s">
        <v>93</v>
      </c>
      <c r="D91">
        <v>25.5</v>
      </c>
      <c r="E91" t="s">
        <v>92</v>
      </c>
    </row>
    <row r="92" spans="1:5" x14ac:dyDescent="0.25">
      <c r="A92" t="s">
        <v>115</v>
      </c>
      <c r="B92" t="s">
        <v>110</v>
      </c>
      <c r="C92" t="s">
        <v>94</v>
      </c>
      <c r="D92">
        <v>9</v>
      </c>
      <c r="E92" t="s">
        <v>92</v>
      </c>
    </row>
    <row r="93" spans="1:5" x14ac:dyDescent="0.25">
      <c r="A93" t="s">
        <v>115</v>
      </c>
      <c r="B93" t="s">
        <v>110</v>
      </c>
      <c r="C93" t="s">
        <v>83</v>
      </c>
      <c r="D93">
        <v>1</v>
      </c>
      <c r="E93" t="s">
        <v>82</v>
      </c>
    </row>
    <row r="94" spans="1:5" x14ac:dyDescent="0.25">
      <c r="A94" t="s">
        <v>115</v>
      </c>
      <c r="B94" t="s">
        <v>110</v>
      </c>
      <c r="C94" t="s">
        <v>112</v>
      </c>
      <c r="D94">
        <v>1</v>
      </c>
      <c r="E94" t="s">
        <v>82</v>
      </c>
    </row>
    <row r="95" spans="1:5" x14ac:dyDescent="0.25">
      <c r="A95" t="s">
        <v>115</v>
      </c>
      <c r="B95" t="s">
        <v>110</v>
      </c>
      <c r="C95" t="s">
        <v>96</v>
      </c>
      <c r="D95">
        <v>1</v>
      </c>
      <c r="E95" t="s">
        <v>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1A0A-619B-4D68-A56B-74A0E2F263FC}">
  <dimension ref="A2:E65"/>
  <sheetViews>
    <sheetView topLeftCell="A56" workbookViewId="0">
      <selection activeCell="A55" sqref="A55"/>
    </sheetView>
  </sheetViews>
  <sheetFormatPr defaultRowHeight="15" x14ac:dyDescent="0.25"/>
  <cols>
    <col min="1" max="1" width="47.7109375" customWidth="1"/>
    <col min="3" max="3" width="21.85546875" bestFit="1" customWidth="1"/>
    <col min="4" max="4" width="13.28515625" bestFit="1" customWidth="1"/>
    <col min="5" max="5" width="11.140625" bestFit="1" customWidth="1"/>
    <col min="6" max="6" width="15.85546875" bestFit="1" customWidth="1"/>
  </cols>
  <sheetData>
    <row r="2" spans="1:5" x14ac:dyDescent="0.25">
      <c r="A2" t="s">
        <v>0</v>
      </c>
      <c r="B2" s="1"/>
      <c r="D2" s="1"/>
      <c r="E2" s="2"/>
    </row>
    <row r="3" spans="1:5" x14ac:dyDescent="0.25">
      <c r="B3" s="1"/>
      <c r="D3" s="1"/>
      <c r="E3" s="2"/>
    </row>
    <row r="4" spans="1:5" x14ac:dyDescent="0.25">
      <c r="B4" s="1"/>
      <c r="D4" s="1"/>
      <c r="E4" s="2"/>
    </row>
    <row r="5" spans="1:5" x14ac:dyDescent="0.25">
      <c r="B5" s="1"/>
      <c r="D5" s="1"/>
      <c r="E5" s="2"/>
    </row>
    <row r="6" spans="1:5" x14ac:dyDescent="0.25">
      <c r="A6" t="s">
        <v>32</v>
      </c>
      <c r="B6" s="1"/>
      <c r="D6" s="1"/>
      <c r="E6" s="2"/>
    </row>
    <row r="7" spans="1:5" x14ac:dyDescent="0.25">
      <c r="B7" s="1"/>
      <c r="D7" s="1"/>
      <c r="E7" s="2"/>
    </row>
    <row r="8" spans="1:5" x14ac:dyDescent="0.25">
      <c r="A8" t="s">
        <v>33</v>
      </c>
      <c r="B8" s="1"/>
      <c r="D8" s="1"/>
      <c r="E8" s="2"/>
    </row>
    <row r="9" spans="1:5" x14ac:dyDescent="0.25">
      <c r="B9" s="1"/>
      <c r="D9" s="1"/>
      <c r="E9" s="2"/>
    </row>
    <row r="10" spans="1:5" x14ac:dyDescent="0.25">
      <c r="A10" t="s">
        <v>34</v>
      </c>
      <c r="B10" s="1"/>
      <c r="D10" s="1"/>
      <c r="E10" s="2"/>
    </row>
    <row r="11" spans="1:5" x14ac:dyDescent="0.25">
      <c r="B11" s="1"/>
      <c r="D11" s="1"/>
      <c r="E11" s="2"/>
    </row>
    <row r="12" spans="1:5" x14ac:dyDescent="0.25">
      <c r="A12" t="s">
        <v>39</v>
      </c>
      <c r="B12" s="1"/>
      <c r="D12" s="1"/>
      <c r="E12" s="2"/>
    </row>
    <row r="13" spans="1:5" x14ac:dyDescent="0.25">
      <c r="B13" s="1"/>
      <c r="D13" s="1"/>
      <c r="E13" s="2"/>
    </row>
    <row r="14" spans="1:5" x14ac:dyDescent="0.25">
      <c r="B14" s="1"/>
      <c r="D14" s="1"/>
      <c r="E14" s="2"/>
    </row>
    <row r="15" spans="1:5" x14ac:dyDescent="0.25">
      <c r="A15" t="s">
        <v>9</v>
      </c>
      <c r="B15" s="1"/>
      <c r="D15" s="1"/>
      <c r="E15" s="2"/>
    </row>
    <row r="16" spans="1:5" x14ac:dyDescent="0.25">
      <c r="B16" s="1"/>
      <c r="D16" s="1"/>
      <c r="E16" s="2"/>
    </row>
    <row r="17" spans="1:5" x14ac:dyDescent="0.25">
      <c r="A17" t="s">
        <v>10</v>
      </c>
      <c r="B17" s="1"/>
      <c r="D17" s="1"/>
      <c r="E17" s="2"/>
    </row>
    <row r="18" spans="1:5" x14ac:dyDescent="0.25">
      <c r="B18" s="1"/>
      <c r="D18" s="1"/>
      <c r="E18" s="2"/>
    </row>
    <row r="19" spans="1:5" x14ac:dyDescent="0.25">
      <c r="A19" t="s">
        <v>11</v>
      </c>
      <c r="B19" s="1"/>
      <c r="D19" s="1"/>
      <c r="E19" s="2"/>
    </row>
    <row r="20" spans="1:5" x14ac:dyDescent="0.25">
      <c r="B20" s="1"/>
      <c r="D20" s="1"/>
      <c r="E20" s="2"/>
    </row>
    <row r="21" spans="1:5" x14ac:dyDescent="0.25">
      <c r="A21" t="s">
        <v>12</v>
      </c>
      <c r="B21" s="1"/>
      <c r="D21" s="1"/>
      <c r="E21" s="2"/>
    </row>
    <row r="22" spans="1:5" x14ac:dyDescent="0.25">
      <c r="B22" s="1"/>
      <c r="D22" s="1"/>
      <c r="E22" s="2"/>
    </row>
    <row r="23" spans="1:5" x14ac:dyDescent="0.25">
      <c r="A23" t="s">
        <v>40</v>
      </c>
      <c r="B23" s="1"/>
      <c r="D23" s="1"/>
      <c r="E23" s="2"/>
    </row>
    <row r="24" spans="1:5" x14ac:dyDescent="0.25">
      <c r="B24" s="1"/>
      <c r="D24" s="1"/>
      <c r="E24" s="2"/>
    </row>
    <row r="25" spans="1:5" x14ac:dyDescent="0.25">
      <c r="A25" t="s">
        <v>13</v>
      </c>
      <c r="B25" s="1"/>
      <c r="D25" s="1"/>
      <c r="E25" s="2"/>
    </row>
    <row r="26" spans="1:5" x14ac:dyDescent="0.25">
      <c r="B26" s="1"/>
      <c r="D26" s="1"/>
      <c r="E26" s="2"/>
    </row>
    <row r="27" spans="1:5" x14ac:dyDescent="0.25">
      <c r="A27" t="s">
        <v>14</v>
      </c>
      <c r="B27" s="1"/>
      <c r="D27" s="1"/>
      <c r="E27" s="2"/>
    </row>
    <row r="28" spans="1:5" x14ac:dyDescent="0.25">
      <c r="B28" s="1"/>
      <c r="D28" s="1"/>
      <c r="E28" s="2"/>
    </row>
    <row r="29" spans="1:5" x14ac:dyDescent="0.25">
      <c r="A29" t="s">
        <v>15</v>
      </c>
      <c r="B29" s="1"/>
      <c r="D29" s="1"/>
      <c r="E29" s="2"/>
    </row>
    <row r="30" spans="1:5" x14ac:dyDescent="0.25">
      <c r="B30" s="1"/>
      <c r="D30" s="1"/>
      <c r="E30" s="2"/>
    </row>
    <row r="31" spans="1:5" x14ac:dyDescent="0.25">
      <c r="A31" t="s">
        <v>16</v>
      </c>
      <c r="B31" s="1"/>
      <c r="D31" s="1"/>
      <c r="E31" s="2"/>
    </row>
    <row r="32" spans="1:5" x14ac:dyDescent="0.25">
      <c r="B32" s="1"/>
      <c r="D32" s="1"/>
      <c r="E32" s="2"/>
    </row>
    <row r="33" spans="1:1" x14ac:dyDescent="0.25">
      <c r="A33" t="s">
        <v>17</v>
      </c>
    </row>
    <row r="35" spans="1:1" x14ac:dyDescent="0.25">
      <c r="A35" t="s">
        <v>18</v>
      </c>
    </row>
    <row r="37" spans="1:1" x14ac:dyDescent="0.25">
      <c r="A37" t="s">
        <v>19</v>
      </c>
    </row>
    <row r="39" spans="1:1" x14ac:dyDescent="0.25">
      <c r="A39" t="s">
        <v>20</v>
      </c>
    </row>
    <row r="41" spans="1:1" x14ac:dyDescent="0.25">
      <c r="A41" t="s">
        <v>41</v>
      </c>
    </row>
    <row r="43" spans="1:1" x14ac:dyDescent="0.25">
      <c r="A43" t="s">
        <v>21</v>
      </c>
    </row>
    <row r="45" spans="1:1" x14ac:dyDescent="0.25">
      <c r="A45" t="s">
        <v>22</v>
      </c>
    </row>
    <row r="47" spans="1:1" x14ac:dyDescent="0.25">
      <c r="A47" t="s">
        <v>23</v>
      </c>
    </row>
    <row r="49" spans="1:1" x14ac:dyDescent="0.25">
      <c r="A49" t="s">
        <v>24</v>
      </c>
    </row>
    <row r="51" spans="1:1" x14ac:dyDescent="0.25">
      <c r="A51" t="s">
        <v>25</v>
      </c>
    </row>
    <row r="53" spans="1:1" x14ac:dyDescent="0.25">
      <c r="A53" t="s">
        <v>26</v>
      </c>
    </row>
    <row r="55" spans="1:1" x14ac:dyDescent="0.25">
      <c r="A55" t="s">
        <v>42</v>
      </c>
    </row>
    <row r="57" spans="1:1" x14ac:dyDescent="0.25">
      <c r="A57" t="s">
        <v>27</v>
      </c>
    </row>
    <row r="59" spans="1:1" x14ac:dyDescent="0.25">
      <c r="A59" t="s">
        <v>28</v>
      </c>
    </row>
    <row r="61" spans="1:1" x14ac:dyDescent="0.25">
      <c r="A61" t="s">
        <v>29</v>
      </c>
    </row>
    <row r="63" spans="1:1" x14ac:dyDescent="0.25">
      <c r="A63" t="s">
        <v>30</v>
      </c>
    </row>
    <row r="65" spans="1:1" x14ac:dyDescent="0.25">
      <c r="A65" t="s">
        <v>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A3B3-9ADC-463D-9C96-98D674FB639F}">
  <dimension ref="A2:A37"/>
  <sheetViews>
    <sheetView topLeftCell="A24" workbookViewId="0">
      <selection activeCell="A30" sqref="A30"/>
    </sheetView>
  </sheetViews>
  <sheetFormatPr defaultRowHeight="15" x14ac:dyDescent="0.25"/>
  <cols>
    <col min="1" max="1" width="44.5703125" customWidth="1"/>
  </cols>
  <sheetData>
    <row r="2" spans="1:1" x14ac:dyDescent="0.25">
      <c r="A2" t="s">
        <v>1</v>
      </c>
    </row>
    <row r="5" spans="1:1" x14ac:dyDescent="0.25">
      <c r="A5" t="s">
        <v>63</v>
      </c>
    </row>
    <row r="7" spans="1:1" x14ac:dyDescent="0.25">
      <c r="A7" t="s">
        <v>64</v>
      </c>
    </row>
    <row r="9" spans="1:1" x14ac:dyDescent="0.25">
      <c r="A9" t="s">
        <v>65</v>
      </c>
    </row>
    <row r="11" spans="1:1" x14ac:dyDescent="0.25">
      <c r="A11" t="s">
        <v>66</v>
      </c>
    </row>
    <row r="13" spans="1:1" x14ac:dyDescent="0.25">
      <c r="A13" t="s">
        <v>67</v>
      </c>
    </row>
    <row r="15" spans="1:1" x14ac:dyDescent="0.25">
      <c r="A15" t="s">
        <v>68</v>
      </c>
    </row>
    <row r="17" spans="1:1" x14ac:dyDescent="0.25">
      <c r="A17" t="s">
        <v>69</v>
      </c>
    </row>
    <row r="19" spans="1:1" x14ac:dyDescent="0.25">
      <c r="A19" t="s">
        <v>70</v>
      </c>
    </row>
    <row r="21" spans="1:1" x14ac:dyDescent="0.25">
      <c r="A21" t="s">
        <v>71</v>
      </c>
    </row>
    <row r="23" spans="1:1" x14ac:dyDescent="0.25">
      <c r="A23" t="s">
        <v>72</v>
      </c>
    </row>
    <row r="25" spans="1:1" x14ac:dyDescent="0.25">
      <c r="A25" t="s">
        <v>73</v>
      </c>
    </row>
    <row r="27" spans="1:1" x14ac:dyDescent="0.25">
      <c r="A27" t="s">
        <v>74</v>
      </c>
    </row>
    <row r="29" spans="1:1" x14ac:dyDescent="0.25">
      <c r="A29" t="s">
        <v>75</v>
      </c>
    </row>
    <row r="31" spans="1:1" x14ac:dyDescent="0.25">
      <c r="A31" t="s">
        <v>76</v>
      </c>
    </row>
    <row r="33" spans="1:1" x14ac:dyDescent="0.25">
      <c r="A33" t="s">
        <v>77</v>
      </c>
    </row>
    <row r="35" spans="1:1" x14ac:dyDescent="0.25">
      <c r="A35" t="s">
        <v>78</v>
      </c>
    </row>
    <row r="37" spans="1:1" x14ac:dyDescent="0.25">
      <c r="A37" t="s">
        <v>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9CEAEB-79DE-4F62-A9D6-5173358034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Zapotrzebowanie_produkcyjne</vt:lpstr>
      <vt:lpstr>Transport</vt:lpstr>
      <vt:lpstr>Zamowienia_sklep</vt:lpstr>
      <vt:lpstr>Receptury</vt:lpstr>
      <vt:lpstr>Dostepnosc_surowcow</vt:lpstr>
      <vt:lpstr>b_Receptury</vt:lpstr>
      <vt:lpstr>b_Zamowienia_sklepy</vt:lpstr>
      <vt:lpstr>b_Dostepnosc_surowcow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Jola</dc:creator>
  <cp:lastModifiedBy>Jola</cp:lastModifiedBy>
  <dcterms:created xsi:type="dcterms:W3CDTF">2026-02-18T10:38:55Z</dcterms:created>
  <dcterms:modified xsi:type="dcterms:W3CDTF">2026-02-26T11:20:21Z</dcterms:modified>
</cp:coreProperties>
</file>